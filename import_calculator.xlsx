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設定" sheetId="1" state="visible" r:id="rId3"/>
    <sheet name="仕入れ判定" sheetId="2" state="visible" r:id="rId4"/>
    <sheet name="月次計画" sheetId="3" state="visible" r:id="rId5"/>
    <sheet name="取引記録" sheetId="4" state="visible" r:id="rId6"/>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D1" authorId="0">
      <text>
        <r>
          <rPr>
            <sz val="10"/>
            <rFont val="Arial"/>
            <family val="2"/>
          </rPr>
          <t xml:space="preserve">eBay</t>
        </r>
        <r>
          <rPr>
            <sz val="10"/>
            <rFont val="WenQuanYi Zen Hei"/>
            <family val="2"/>
          </rPr>
          <t xml:space="preserve">等の商品価格。海外販売税（</t>
        </r>
        <r>
          <rPr>
            <sz val="10"/>
            <rFont val="Arial"/>
            <family val="2"/>
          </rPr>
          <t xml:space="preserve">Sales Tax</t>
        </r>
        <r>
          <rPr>
            <sz val="10"/>
            <rFont val="WenQuanYi Zen Hei"/>
            <family val="2"/>
          </rPr>
          <t xml:space="preserve">等）がかかる場合は含めて入力</t>
        </r>
      </text>
    </comment>
    <comment ref="G1" authorId="0">
      <text>
        <r>
          <rPr>
            <sz val="10"/>
            <rFont val="WenQuanYi Zen Hei"/>
            <family val="2"/>
          </rPr>
          <t xml:space="preserve">出品価格ではなく、メルカリ</t>
        </r>
        <r>
          <rPr>
            <sz val="10"/>
            <rFont val="Arial"/>
            <family val="2"/>
          </rPr>
          <t xml:space="preserve">/</t>
        </r>
        <r>
          <rPr>
            <sz val="10"/>
            <rFont val="WenQuanYi Zen Hei"/>
            <family val="2"/>
          </rPr>
          <t xml:space="preserve">オークファン等の『実際に売れた価格』の直近相場を入力</t>
        </r>
      </text>
    </comment>
    <comment ref="J1" authorId="0">
      <text>
        <r>
          <rPr>
            <sz val="10"/>
            <rFont val="WenQuanYi Zen Hei"/>
            <family val="2"/>
          </rPr>
          <t xml:space="preserve">簡易計算</t>
        </r>
        <r>
          <rPr>
            <sz val="10"/>
            <rFont val="Arial"/>
            <family val="2"/>
          </rPr>
          <t xml:space="preserve">: (</t>
        </r>
        <r>
          <rPr>
            <sz val="10"/>
            <rFont val="WenQuanYi Zen Hei"/>
            <family val="2"/>
          </rPr>
          <t xml:space="preserve">商品価格</t>
        </r>
        <r>
          <rPr>
            <sz val="10"/>
            <rFont val="Arial"/>
            <family val="2"/>
          </rPr>
          <t xml:space="preserve">+</t>
        </r>
        <r>
          <rPr>
            <sz val="10"/>
            <rFont val="WenQuanYi Zen Hei"/>
            <family val="2"/>
          </rPr>
          <t xml:space="preserve">海外送料</t>
        </r>
        <r>
          <rPr>
            <sz val="10"/>
            <rFont val="Arial"/>
            <family val="2"/>
          </rPr>
          <t xml:space="preserve">)×</t>
        </r>
        <r>
          <rPr>
            <sz val="10"/>
            <rFont val="WenQuanYi Zen Hei"/>
            <family val="2"/>
          </rPr>
          <t xml:space="preserve">為替。厳密には税関が決定する。複数枚をまとめて輸入する場合は合計で免税ライン判定されるため、この列は</t>
        </r>
        <r>
          <rPr>
            <sz val="10"/>
            <rFont val="Arial"/>
            <family val="2"/>
          </rPr>
          <t xml:space="preserve">1</t>
        </r>
        <r>
          <rPr>
            <sz val="10"/>
            <rFont val="WenQuanYi Zen Hei"/>
            <family val="2"/>
          </rPr>
          <t xml:space="preserve">件単位の目安</t>
        </r>
      </text>
    </comment>
  </commentList>
</comments>
</file>

<file path=xl/sharedStrings.xml><?xml version="1.0" encoding="utf-8"?>
<sst xmlns="http://schemas.openxmlformats.org/spreadsheetml/2006/main" count="114" uniqueCount="101">
  <si>
    <t xml:space="preserve">輸入型 仕入れ判定ツール — 設定</t>
  </si>
  <si>
    <t xml:space="preserve">黄色セル（青字）を自分の条件に合わせて書き換えてください。他シートはすべてここを参照します。</t>
  </si>
  <si>
    <t xml:space="preserve">項目</t>
  </si>
  <si>
    <t xml:space="preserve">値</t>
  </si>
  <si>
    <t xml:space="preserve">根拠・メモ</t>
  </si>
  <si>
    <r>
      <rPr>
        <sz val="11"/>
        <rFont val="WenQuanYi Zen Hei"/>
        <family val="2"/>
      </rPr>
      <t xml:space="preserve">為替レート（円</t>
    </r>
    <r>
      <rPr>
        <sz val="11"/>
        <rFont val="Arial"/>
        <family val="0"/>
        <charset val="1"/>
      </rPr>
      <t xml:space="preserve">/USD</t>
    </r>
    <r>
      <rPr>
        <sz val="11"/>
        <rFont val="WenQuanYi Zen Hei"/>
        <family val="2"/>
      </rPr>
      <t xml:space="preserve">）</t>
    </r>
  </si>
  <si>
    <t xml:space="preserve">仮の値。仕入れ当日のレートに必ず更新する（カード会社の換算レートが最も正確）</t>
  </si>
  <si>
    <t xml:space="preserve">カード決済・為替手数料率</t>
  </si>
  <si>
    <r>
      <rPr>
        <sz val="11"/>
        <rFont val="WenQuanYi Zen Hei"/>
        <family val="2"/>
      </rPr>
      <t xml:space="preserve">海外決済時のカード会社手数料。カード会社により約</t>
    </r>
    <r>
      <rPr>
        <sz val="11"/>
        <rFont val="Arial"/>
        <family val="0"/>
        <charset val="1"/>
      </rPr>
      <t xml:space="preserve">1.6</t>
    </r>
    <r>
      <rPr>
        <sz val="11"/>
        <rFont val="WenQuanYi Zen Hei"/>
        <family val="2"/>
      </rPr>
      <t xml:space="preserve">〜</t>
    </r>
    <r>
      <rPr>
        <sz val="11"/>
        <rFont val="Arial"/>
        <family val="0"/>
        <charset val="1"/>
      </rPr>
      <t xml:space="preserve">3%</t>
    </r>
    <r>
      <rPr>
        <sz val="11"/>
        <rFont val="WenQuanYi Zen Hei"/>
        <family val="2"/>
      </rPr>
      <t xml:space="preserve">。規約で確認</t>
    </r>
  </si>
  <si>
    <t xml:space="preserve">関税率</t>
  </si>
  <si>
    <t xml:space="preserve">トレーディングカードは無税とされることが多いが、品目分類は税関の判断。事前教示制度・税関相談で確認</t>
  </si>
  <si>
    <t xml:space="preserve">輸入消費税率</t>
  </si>
  <si>
    <r>
      <rPr>
        <sz val="11"/>
        <rFont val="WenQuanYi Zen Hei"/>
        <family val="2"/>
      </rPr>
      <t xml:space="preserve">国税</t>
    </r>
    <r>
      <rPr>
        <sz val="11"/>
        <rFont val="Arial"/>
        <family val="0"/>
        <charset val="1"/>
      </rPr>
      <t xml:space="preserve">7.8%</t>
    </r>
    <r>
      <rPr>
        <sz val="11"/>
        <rFont val="WenQuanYi Zen Hei"/>
        <family val="2"/>
      </rPr>
      <t xml:space="preserve">＋地方税</t>
    </r>
    <r>
      <rPr>
        <sz val="11"/>
        <rFont val="Arial"/>
        <family val="0"/>
        <charset val="1"/>
      </rPr>
      <t xml:space="preserve">2.2%</t>
    </r>
  </si>
  <si>
    <t xml:space="preserve">少額免税ライン（課税価格・円）</t>
  </si>
  <si>
    <r>
      <rPr>
        <sz val="11"/>
        <rFont val="Arial"/>
        <family val="0"/>
        <charset val="1"/>
      </rPr>
      <t xml:space="preserve">1</t>
    </r>
    <r>
      <rPr>
        <sz val="11"/>
        <rFont val="WenQuanYi Zen Hei"/>
        <family val="2"/>
      </rPr>
      <t xml:space="preserve">回の輸入の課税価格合計が</t>
    </r>
    <r>
      <rPr>
        <sz val="11"/>
        <rFont val="Arial"/>
        <family val="0"/>
        <charset val="1"/>
      </rPr>
      <t xml:space="preserve">1</t>
    </r>
    <r>
      <rPr>
        <sz val="11"/>
        <rFont val="WenQuanYi Zen Hei"/>
        <family val="2"/>
      </rPr>
      <t xml:space="preserve">万円以下なら関税・消費税が免除（関税定率法</t>
    </r>
    <r>
      <rPr>
        <sz val="11"/>
        <rFont val="Arial"/>
        <family val="0"/>
        <charset val="1"/>
      </rPr>
      <t xml:space="preserve">14</t>
    </r>
    <r>
      <rPr>
        <sz val="11"/>
        <rFont val="WenQuanYi Zen Hei"/>
        <family val="2"/>
      </rPr>
      <t xml:space="preserve">条</t>
    </r>
    <r>
      <rPr>
        <sz val="11"/>
        <rFont val="Arial"/>
        <family val="0"/>
        <charset val="1"/>
      </rPr>
      <t xml:space="preserve">18</t>
    </r>
    <r>
      <rPr>
        <sz val="11"/>
        <rFont val="WenQuanYi Zen Hei"/>
        <family val="2"/>
      </rPr>
      <t xml:space="preserve">号）。最新情報は税関サイトで確認</t>
    </r>
  </si>
  <si>
    <r>
      <rPr>
        <sz val="11"/>
        <rFont val="WenQuanYi Zen Hei"/>
        <family val="2"/>
      </rPr>
      <t xml:space="preserve">通関手数料（</t>
    </r>
    <r>
      <rPr>
        <sz val="11"/>
        <rFont val="Arial"/>
        <family val="0"/>
        <charset val="1"/>
      </rPr>
      <t xml:space="preserve">1</t>
    </r>
    <r>
      <rPr>
        <sz val="11"/>
        <rFont val="WenQuanYi Zen Hei"/>
        <family val="2"/>
      </rPr>
      <t xml:space="preserve">件あたり・円）</t>
    </r>
  </si>
  <si>
    <r>
      <rPr>
        <sz val="11"/>
        <rFont val="WenQuanYi Zen Hei"/>
        <family val="2"/>
      </rPr>
      <t xml:space="preserve">日本郵便の例。クーリエ（</t>
    </r>
    <r>
      <rPr>
        <sz val="11"/>
        <rFont val="Arial"/>
        <family val="0"/>
        <charset val="1"/>
      </rPr>
      <t xml:space="preserve">FedEx/DHL</t>
    </r>
    <r>
      <rPr>
        <sz val="11"/>
        <rFont val="WenQuanYi Zen Hei"/>
        <family val="2"/>
      </rPr>
      <t xml:space="preserve">等）は別途かかる場合あり</t>
    </r>
  </si>
  <si>
    <t xml:space="preserve">国内販売手数料率</t>
  </si>
  <si>
    <r>
      <rPr>
        <sz val="11"/>
        <rFont val="WenQuanYi Zen Hei"/>
        <family val="2"/>
      </rPr>
      <t xml:space="preserve">メルカリ</t>
    </r>
    <r>
      <rPr>
        <sz val="11"/>
        <rFont val="Arial"/>
        <family val="0"/>
        <charset val="1"/>
      </rPr>
      <t xml:space="preserve">10%</t>
    </r>
    <r>
      <rPr>
        <sz val="11"/>
        <rFont val="WenQuanYi Zen Hei"/>
        <family val="2"/>
      </rPr>
      <t xml:space="preserve">。販路を変える場合は書き換え</t>
    </r>
  </si>
  <si>
    <r>
      <rPr>
        <sz val="11"/>
        <rFont val="WenQuanYi Zen Hei"/>
        <family val="2"/>
      </rPr>
      <t xml:space="preserve">国内送料（</t>
    </r>
    <r>
      <rPr>
        <sz val="11"/>
        <rFont val="Arial"/>
        <family val="0"/>
        <charset val="1"/>
      </rPr>
      <t xml:space="preserve">1</t>
    </r>
    <r>
      <rPr>
        <sz val="11"/>
        <rFont val="WenQuanYi Zen Hei"/>
        <family val="2"/>
      </rPr>
      <t xml:space="preserve">件あたり・円）</t>
    </r>
  </si>
  <si>
    <r>
      <rPr>
        <sz val="11"/>
        <rFont val="WenQuanYi Zen Hei"/>
        <family val="2"/>
      </rPr>
      <t xml:space="preserve">例</t>
    </r>
    <r>
      <rPr>
        <sz val="11"/>
        <rFont val="Arial"/>
        <family val="0"/>
        <charset val="1"/>
      </rPr>
      <t xml:space="preserve">: </t>
    </r>
    <r>
      <rPr>
        <sz val="11"/>
        <rFont val="WenQuanYi Zen Hei"/>
        <family val="2"/>
      </rPr>
      <t xml:space="preserve">匿名配送の小型便＋スリーブ・ローダー・梱包材。</t>
    </r>
    <r>
      <rPr>
        <sz val="11"/>
        <rFont val="Arial"/>
        <family val="0"/>
        <charset val="1"/>
      </rPr>
      <t xml:space="preserve">PSA</t>
    </r>
    <r>
      <rPr>
        <sz val="11"/>
        <rFont val="WenQuanYi Zen Hei"/>
        <family val="2"/>
      </rPr>
      <t xml:space="preserve">鑑定品は厚みで送料が上がる</t>
    </r>
  </si>
  <si>
    <r>
      <rPr>
        <sz val="11"/>
        <rFont val="WenQuanYi Zen Hei"/>
        <family val="2"/>
      </rPr>
      <t xml:space="preserve">最低利益額（</t>
    </r>
    <r>
      <rPr>
        <sz val="11"/>
        <rFont val="Arial"/>
        <family val="0"/>
        <charset val="1"/>
      </rPr>
      <t xml:space="preserve">1</t>
    </r>
    <r>
      <rPr>
        <sz val="11"/>
        <rFont val="WenQuanYi Zen Hei"/>
        <family val="2"/>
      </rPr>
      <t xml:space="preserve">件・円）</t>
    </r>
  </si>
  <si>
    <t xml:space="preserve">これを下回る案件は見送り</t>
  </si>
  <si>
    <t xml:space="preserve">最低利益率</t>
  </si>
  <si>
    <t xml:space="preserve">これを下回る案件は見送り（相場の下振れ・値下げ交渉の余裕）</t>
  </si>
  <si>
    <t xml:space="preserve">月の目標利益（円）</t>
  </si>
  <si>
    <r>
      <rPr>
        <sz val="11"/>
        <rFont val="WenQuanYi Zen Hei"/>
        <family val="2"/>
      </rPr>
      <t xml:space="preserve">ユーザー目標</t>
    </r>
    <r>
      <rPr>
        <sz val="11"/>
        <rFont val="Arial"/>
        <family val="0"/>
        <charset val="1"/>
      </rPr>
      <t xml:space="preserve">: </t>
    </r>
    <r>
      <rPr>
        <sz val="11"/>
        <rFont val="WenQuanYi Zen Hei"/>
        <family val="2"/>
      </rPr>
      <t xml:space="preserve">最低月</t>
    </r>
    <r>
      <rPr>
        <sz val="11"/>
        <rFont val="Arial"/>
        <family val="0"/>
        <charset val="1"/>
      </rPr>
      <t xml:space="preserve">10</t>
    </r>
    <r>
      <rPr>
        <sz val="11"/>
        <rFont val="WenQuanYi Zen Hei"/>
        <family val="2"/>
      </rPr>
      <t xml:space="preserve">万円</t>
    </r>
  </si>
  <si>
    <t xml:space="preserve">※税・手数料・法規制は変わります。数値はあくまで初期値で、実行前に公式情報で確認してください。</t>
  </si>
  <si>
    <t xml:space="preserve">カード名</t>
  </si>
  <si>
    <r>
      <rPr>
        <b val="true"/>
        <sz val="11"/>
        <color rgb="FFFFFFFF"/>
        <rFont val="WenQuanYi Zen Hei"/>
        <family val="2"/>
      </rPr>
      <t xml:space="preserve">型番</t>
    </r>
    <r>
      <rPr>
        <b val="true"/>
        <sz val="11"/>
        <color rgb="FFFFFFFF"/>
        <rFont val="Arial"/>
        <family val="0"/>
        <charset val="1"/>
      </rPr>
      <t xml:space="preserve">/</t>
    </r>
    <r>
      <rPr>
        <b val="true"/>
        <sz val="11"/>
        <color rgb="FFFFFFFF"/>
        <rFont val="WenQuanYi Zen Hei"/>
        <family val="2"/>
      </rPr>
      <t xml:space="preserve">状態</t>
    </r>
  </si>
  <si>
    <t xml:space="preserve">仕入先</t>
  </si>
  <si>
    <r>
      <rPr>
        <b val="true"/>
        <sz val="11"/>
        <color rgb="FFFFFFFF"/>
        <rFont val="WenQuanYi Zen Hei"/>
        <family val="2"/>
      </rPr>
      <t xml:space="preserve">商品価格</t>
    </r>
    <r>
      <rPr>
        <b val="true"/>
        <sz val="11"/>
        <color rgb="FFFFFFFF"/>
        <rFont val="Arial"/>
        <family val="0"/>
        <charset val="1"/>
      </rPr>
      <t xml:space="preserve">(USD)</t>
    </r>
  </si>
  <si>
    <r>
      <rPr>
        <b val="true"/>
        <sz val="11"/>
        <color rgb="FFFFFFFF"/>
        <rFont val="WenQuanYi Zen Hei"/>
        <family val="2"/>
      </rPr>
      <t xml:space="preserve">海外送料</t>
    </r>
    <r>
      <rPr>
        <b val="true"/>
        <sz val="11"/>
        <color rgb="FFFFFFFF"/>
        <rFont val="Arial"/>
        <family val="0"/>
        <charset val="1"/>
      </rPr>
      <t xml:space="preserve">(USD)</t>
    </r>
  </si>
  <si>
    <r>
      <rPr>
        <b val="true"/>
        <sz val="11"/>
        <color rgb="FFFFFFFF"/>
        <rFont val="WenQuanYi Zen Hei"/>
        <family val="2"/>
      </rPr>
      <t xml:space="preserve">転送料・その他</t>
    </r>
    <r>
      <rPr>
        <b val="true"/>
        <sz val="11"/>
        <color rgb="FFFFFFFF"/>
        <rFont val="Arial"/>
        <family val="0"/>
        <charset val="1"/>
      </rPr>
      <t xml:space="preserve">(</t>
    </r>
    <r>
      <rPr>
        <b val="true"/>
        <sz val="11"/>
        <color rgb="FFFFFFFF"/>
        <rFont val="WenQuanYi Zen Hei"/>
        <family val="2"/>
      </rPr>
      <t xml:space="preserve">円</t>
    </r>
    <r>
      <rPr>
        <b val="true"/>
        <sz val="11"/>
        <color rgb="FFFFFFFF"/>
        <rFont val="Arial"/>
        <family val="0"/>
        <charset val="1"/>
      </rPr>
      <t xml:space="preserve">)</t>
    </r>
  </si>
  <si>
    <r>
      <rPr>
        <b val="true"/>
        <sz val="11"/>
        <color rgb="FFFFFFFF"/>
        <rFont val="WenQuanYi Zen Hei"/>
        <family val="2"/>
      </rPr>
      <t xml:space="preserve">想定販売価格</t>
    </r>
    <r>
      <rPr>
        <b val="true"/>
        <sz val="11"/>
        <color rgb="FFFFFFFF"/>
        <rFont val="Arial"/>
        <family val="0"/>
        <charset val="1"/>
      </rPr>
      <t xml:space="preserve">(</t>
    </r>
    <r>
      <rPr>
        <b val="true"/>
        <sz val="11"/>
        <color rgb="FFFFFFFF"/>
        <rFont val="WenQuanYi Zen Hei"/>
        <family val="2"/>
      </rPr>
      <t xml:space="preserve">円</t>
    </r>
    <r>
      <rPr>
        <b val="true"/>
        <sz val="11"/>
        <color rgb="FFFFFFFF"/>
        <rFont val="Arial"/>
        <family val="0"/>
        <charset val="1"/>
      </rPr>
      <t xml:space="preserve">)</t>
    </r>
  </si>
  <si>
    <t xml:space="preserve">販売価格の根拠</t>
  </si>
  <si>
    <r>
      <rPr>
        <b val="true"/>
        <sz val="11"/>
        <color rgb="FFFFFFFF"/>
        <rFont val="WenQuanYi Zen Hei"/>
        <family val="2"/>
      </rPr>
      <t xml:space="preserve">仕入原価</t>
    </r>
    <r>
      <rPr>
        <b val="true"/>
        <sz val="11"/>
        <color rgb="FFFFFFFF"/>
        <rFont val="Arial"/>
        <family val="0"/>
        <charset val="1"/>
      </rPr>
      <t xml:space="preserve">(</t>
    </r>
    <r>
      <rPr>
        <b val="true"/>
        <sz val="11"/>
        <color rgb="FFFFFFFF"/>
        <rFont val="WenQuanYi Zen Hei"/>
        <family val="2"/>
      </rPr>
      <t xml:space="preserve">円</t>
    </r>
    <r>
      <rPr>
        <b val="true"/>
        <sz val="11"/>
        <color rgb="FFFFFFFF"/>
        <rFont val="Arial"/>
        <family val="0"/>
        <charset val="1"/>
      </rPr>
      <t xml:space="preserve">)</t>
    </r>
  </si>
  <si>
    <r>
      <rPr>
        <b val="true"/>
        <sz val="11"/>
        <color rgb="FFFFFFFF"/>
        <rFont val="WenQuanYi Zen Hei"/>
        <family val="2"/>
      </rPr>
      <t xml:space="preserve">課税価格</t>
    </r>
    <r>
      <rPr>
        <b val="true"/>
        <sz val="11"/>
        <color rgb="FFFFFFFF"/>
        <rFont val="Arial"/>
        <family val="0"/>
        <charset val="1"/>
      </rPr>
      <t xml:space="preserve">(</t>
    </r>
    <r>
      <rPr>
        <b val="true"/>
        <sz val="11"/>
        <color rgb="FFFFFFFF"/>
        <rFont val="WenQuanYi Zen Hei"/>
        <family val="2"/>
      </rPr>
      <t xml:space="preserve">円</t>
    </r>
    <r>
      <rPr>
        <b val="true"/>
        <sz val="11"/>
        <color rgb="FFFFFFFF"/>
        <rFont val="Arial"/>
        <family val="0"/>
        <charset val="1"/>
      </rPr>
      <t xml:space="preserve">)</t>
    </r>
  </si>
  <si>
    <r>
      <rPr>
        <b val="true"/>
        <sz val="11"/>
        <color rgb="FFFFFFFF"/>
        <rFont val="WenQuanYi Zen Hei"/>
        <family val="2"/>
      </rPr>
      <t xml:space="preserve">関税</t>
    </r>
    <r>
      <rPr>
        <b val="true"/>
        <sz val="11"/>
        <color rgb="FFFFFFFF"/>
        <rFont val="Arial"/>
        <family val="0"/>
        <charset val="1"/>
      </rPr>
      <t xml:space="preserve">(</t>
    </r>
    <r>
      <rPr>
        <b val="true"/>
        <sz val="11"/>
        <color rgb="FFFFFFFF"/>
        <rFont val="WenQuanYi Zen Hei"/>
        <family val="2"/>
      </rPr>
      <t xml:space="preserve">円</t>
    </r>
    <r>
      <rPr>
        <b val="true"/>
        <sz val="11"/>
        <color rgb="FFFFFFFF"/>
        <rFont val="Arial"/>
        <family val="0"/>
        <charset val="1"/>
      </rPr>
      <t xml:space="preserve">)</t>
    </r>
  </si>
  <si>
    <r>
      <rPr>
        <b val="true"/>
        <sz val="11"/>
        <color rgb="FFFFFFFF"/>
        <rFont val="WenQuanYi Zen Hei"/>
        <family val="2"/>
      </rPr>
      <t xml:space="preserve">輸入消費税</t>
    </r>
    <r>
      <rPr>
        <b val="true"/>
        <sz val="11"/>
        <color rgb="FFFFFFFF"/>
        <rFont val="Arial"/>
        <family val="0"/>
        <charset val="1"/>
      </rPr>
      <t xml:space="preserve">(</t>
    </r>
    <r>
      <rPr>
        <b val="true"/>
        <sz val="11"/>
        <color rgb="FFFFFFFF"/>
        <rFont val="WenQuanYi Zen Hei"/>
        <family val="2"/>
      </rPr>
      <t xml:space="preserve">円</t>
    </r>
    <r>
      <rPr>
        <b val="true"/>
        <sz val="11"/>
        <color rgb="FFFFFFFF"/>
        <rFont val="Arial"/>
        <family val="0"/>
        <charset val="1"/>
      </rPr>
      <t xml:space="preserve">)</t>
    </r>
  </si>
  <si>
    <r>
      <rPr>
        <b val="true"/>
        <sz val="11"/>
        <color rgb="FFFFFFFF"/>
        <rFont val="WenQuanYi Zen Hei"/>
        <family val="2"/>
      </rPr>
      <t xml:space="preserve">通関手数料</t>
    </r>
    <r>
      <rPr>
        <b val="true"/>
        <sz val="11"/>
        <color rgb="FFFFFFFF"/>
        <rFont val="Arial"/>
        <family val="0"/>
        <charset val="1"/>
      </rPr>
      <t xml:space="preserve">(</t>
    </r>
    <r>
      <rPr>
        <b val="true"/>
        <sz val="11"/>
        <color rgb="FFFFFFFF"/>
        <rFont val="WenQuanYi Zen Hei"/>
        <family val="2"/>
      </rPr>
      <t xml:space="preserve">円</t>
    </r>
    <r>
      <rPr>
        <b val="true"/>
        <sz val="11"/>
        <color rgb="FFFFFFFF"/>
        <rFont val="Arial"/>
        <family val="0"/>
        <charset val="1"/>
      </rPr>
      <t xml:space="preserve">)</t>
    </r>
  </si>
  <si>
    <r>
      <rPr>
        <b val="true"/>
        <sz val="11"/>
        <color rgb="FFFFFFFF"/>
        <rFont val="WenQuanYi Zen Hei"/>
        <family val="2"/>
      </rPr>
      <t xml:space="preserve">総仕入コスト</t>
    </r>
    <r>
      <rPr>
        <b val="true"/>
        <sz val="11"/>
        <color rgb="FFFFFFFF"/>
        <rFont val="Arial"/>
        <family val="0"/>
        <charset val="1"/>
      </rPr>
      <t xml:space="preserve">(</t>
    </r>
    <r>
      <rPr>
        <b val="true"/>
        <sz val="11"/>
        <color rgb="FFFFFFFF"/>
        <rFont val="WenQuanYi Zen Hei"/>
        <family val="2"/>
      </rPr>
      <t xml:space="preserve">円</t>
    </r>
    <r>
      <rPr>
        <b val="true"/>
        <sz val="11"/>
        <color rgb="FFFFFFFF"/>
        <rFont val="Arial"/>
        <family val="0"/>
        <charset val="1"/>
      </rPr>
      <t xml:space="preserve">)</t>
    </r>
  </si>
  <si>
    <r>
      <rPr>
        <b val="true"/>
        <sz val="11"/>
        <color rgb="FFFFFFFF"/>
        <rFont val="WenQuanYi Zen Hei"/>
        <family val="2"/>
      </rPr>
      <t xml:space="preserve">販売手数料</t>
    </r>
    <r>
      <rPr>
        <b val="true"/>
        <sz val="11"/>
        <color rgb="FFFFFFFF"/>
        <rFont val="Arial"/>
        <family val="0"/>
        <charset val="1"/>
      </rPr>
      <t xml:space="preserve">(</t>
    </r>
    <r>
      <rPr>
        <b val="true"/>
        <sz val="11"/>
        <color rgb="FFFFFFFF"/>
        <rFont val="WenQuanYi Zen Hei"/>
        <family val="2"/>
      </rPr>
      <t xml:space="preserve">円</t>
    </r>
    <r>
      <rPr>
        <b val="true"/>
        <sz val="11"/>
        <color rgb="FFFFFFFF"/>
        <rFont val="Arial"/>
        <family val="0"/>
        <charset val="1"/>
      </rPr>
      <t xml:space="preserve">)</t>
    </r>
  </si>
  <si>
    <r>
      <rPr>
        <b val="true"/>
        <sz val="11"/>
        <color rgb="FFFFFFFF"/>
        <rFont val="WenQuanYi Zen Hei"/>
        <family val="2"/>
      </rPr>
      <t xml:space="preserve">国内送料</t>
    </r>
    <r>
      <rPr>
        <b val="true"/>
        <sz val="11"/>
        <color rgb="FFFFFFFF"/>
        <rFont val="Arial"/>
        <family val="0"/>
        <charset val="1"/>
      </rPr>
      <t xml:space="preserve">(</t>
    </r>
    <r>
      <rPr>
        <b val="true"/>
        <sz val="11"/>
        <color rgb="FFFFFFFF"/>
        <rFont val="WenQuanYi Zen Hei"/>
        <family val="2"/>
      </rPr>
      <t xml:space="preserve">円</t>
    </r>
    <r>
      <rPr>
        <b val="true"/>
        <sz val="11"/>
        <color rgb="FFFFFFFF"/>
        <rFont val="Arial"/>
        <family val="0"/>
        <charset val="1"/>
      </rPr>
      <t xml:space="preserve">)</t>
    </r>
  </si>
  <si>
    <r>
      <rPr>
        <b val="true"/>
        <sz val="11"/>
        <color rgb="FFFFFFFF"/>
        <rFont val="WenQuanYi Zen Hei"/>
        <family val="2"/>
      </rPr>
      <t xml:space="preserve">利益</t>
    </r>
    <r>
      <rPr>
        <b val="true"/>
        <sz val="11"/>
        <color rgb="FFFFFFFF"/>
        <rFont val="Arial"/>
        <family val="0"/>
        <charset val="1"/>
      </rPr>
      <t xml:space="preserve">(</t>
    </r>
    <r>
      <rPr>
        <b val="true"/>
        <sz val="11"/>
        <color rgb="FFFFFFFF"/>
        <rFont val="WenQuanYi Zen Hei"/>
        <family val="2"/>
      </rPr>
      <t xml:space="preserve">円</t>
    </r>
    <r>
      <rPr>
        <b val="true"/>
        <sz val="11"/>
        <color rgb="FFFFFFFF"/>
        <rFont val="Arial"/>
        <family val="0"/>
        <charset val="1"/>
      </rPr>
      <t xml:space="preserve">)</t>
    </r>
  </si>
  <si>
    <t xml:space="preserve">利益率</t>
  </si>
  <si>
    <t xml:space="preserve">判定</t>
  </si>
  <si>
    <t xml:space="preserve">（記入例）リザードン</t>
  </si>
  <si>
    <t xml:space="preserve">PSA10</t>
  </si>
  <si>
    <t xml:space="preserve">eBay</t>
  </si>
  <si>
    <r>
      <rPr>
        <sz val="11"/>
        <color rgb="FF0000FF"/>
        <rFont val="WenQuanYi Zen Hei"/>
        <family val="2"/>
      </rPr>
      <t xml:space="preserve">メルカリ</t>
    </r>
    <r>
      <rPr>
        <sz val="11"/>
        <color rgb="FF0000FF"/>
        <rFont val="Arial"/>
        <family val="0"/>
        <charset val="1"/>
      </rPr>
      <t xml:space="preserve">Sold</t>
    </r>
    <r>
      <rPr>
        <sz val="11"/>
        <color rgb="FF0000FF"/>
        <rFont val="WenQuanYi Zen Hei"/>
        <family val="2"/>
      </rPr>
      <t xml:space="preserve">直近</t>
    </r>
    <r>
      <rPr>
        <sz val="11"/>
        <color rgb="FF0000FF"/>
        <rFont val="Arial"/>
        <family val="0"/>
        <charset val="1"/>
      </rPr>
      <t xml:space="preserve">5</t>
    </r>
    <r>
      <rPr>
        <sz val="11"/>
        <color rgb="FF0000FF"/>
        <rFont val="WenQuanYi Zen Hei"/>
        <family val="2"/>
      </rPr>
      <t xml:space="preserve">件平均</t>
    </r>
  </si>
  <si>
    <r>
      <rPr>
        <i val="true"/>
        <sz val="11"/>
        <rFont val="WenQuanYi Zen Hei"/>
        <family val="2"/>
      </rPr>
      <t xml:space="preserve">使い方</t>
    </r>
    <r>
      <rPr>
        <i val="true"/>
        <sz val="11"/>
        <rFont val="Arial"/>
        <family val="0"/>
        <charset val="1"/>
      </rPr>
      <t xml:space="preserve">: </t>
    </r>
    <r>
      <rPr>
        <i val="true"/>
        <sz val="11"/>
        <rFont val="WenQuanYi Zen Hei"/>
        <family val="2"/>
      </rPr>
      <t xml:space="preserve">黄色セルだけ入力。</t>
    </r>
    <r>
      <rPr>
        <i val="true"/>
        <sz val="11"/>
        <rFont val="Arial"/>
        <family val="0"/>
        <charset val="1"/>
      </rPr>
      <t xml:space="preserve">I</t>
    </r>
    <r>
      <rPr>
        <i val="true"/>
        <sz val="11"/>
        <rFont val="WenQuanYi Zen Hei"/>
        <family val="2"/>
      </rPr>
      <t xml:space="preserve">〜</t>
    </r>
    <r>
      <rPr>
        <i val="true"/>
        <sz val="11"/>
        <rFont val="Arial"/>
        <family val="0"/>
        <charset val="1"/>
      </rPr>
      <t xml:space="preserve">S</t>
    </r>
    <r>
      <rPr>
        <i val="true"/>
        <sz val="11"/>
        <rFont val="WenQuanYi Zen Hei"/>
        <family val="2"/>
      </rPr>
      <t xml:space="preserve">列は自動計算。</t>
    </r>
    <r>
      <rPr>
        <i val="true"/>
        <sz val="11"/>
        <rFont val="Arial"/>
        <family val="0"/>
        <charset val="1"/>
      </rPr>
      <t xml:space="preserve">2</t>
    </r>
    <r>
      <rPr>
        <i val="true"/>
        <sz val="11"/>
        <rFont val="WenQuanYi Zen Hei"/>
        <family val="2"/>
      </rPr>
      <t xml:space="preserve">行目は記入例なので上書きして</t>
    </r>
    <r>
      <rPr>
        <i val="true"/>
        <sz val="11"/>
        <rFont val="Arial"/>
        <family val="0"/>
        <charset val="1"/>
      </rPr>
      <t xml:space="preserve">OK</t>
    </r>
    <r>
      <rPr>
        <i val="true"/>
        <sz val="11"/>
        <rFont val="WenQuanYi Zen Hei"/>
        <family val="2"/>
      </rPr>
      <t xml:space="preserve">。</t>
    </r>
  </si>
  <si>
    <r>
      <rPr>
        <b val="true"/>
        <sz val="14"/>
        <rFont val="WenQuanYi Zen Hei"/>
        <family val="2"/>
      </rPr>
      <t xml:space="preserve">月</t>
    </r>
    <r>
      <rPr>
        <b val="true"/>
        <sz val="14"/>
        <rFont val="Arial"/>
        <family val="0"/>
        <charset val="1"/>
      </rPr>
      <t xml:space="preserve">10</t>
    </r>
    <r>
      <rPr>
        <b val="true"/>
        <sz val="14"/>
        <rFont val="WenQuanYi Zen Hei"/>
        <family val="2"/>
      </rPr>
      <t xml:space="preserve">万円 逆算シート</t>
    </r>
  </si>
  <si>
    <t xml:space="preserve">黄色セルを書き換えると、必要な件数・資金が自動で出ます。</t>
  </si>
  <si>
    <t xml:space="preserve">メモ</t>
  </si>
  <si>
    <t xml:space="preserve">設定シートから連動</t>
  </si>
  <si>
    <r>
      <rPr>
        <sz val="11"/>
        <rFont val="Arial"/>
        <family val="0"/>
        <charset val="1"/>
      </rPr>
      <t xml:space="preserve">1</t>
    </r>
    <r>
      <rPr>
        <sz val="11"/>
        <rFont val="WenQuanYi Zen Hei"/>
        <family val="2"/>
      </rPr>
      <t xml:space="preserve">件あたり平均利益（円）</t>
    </r>
  </si>
  <si>
    <t xml:space="preserve">仮の値。実績がたまったら取引記録の平均に置き換える</t>
  </si>
  <si>
    <r>
      <rPr>
        <sz val="11"/>
        <rFont val="Arial"/>
        <family val="0"/>
        <charset val="1"/>
      </rPr>
      <t xml:space="preserve">1</t>
    </r>
    <r>
      <rPr>
        <sz val="11"/>
        <rFont val="WenQuanYi Zen Hei"/>
        <family val="2"/>
      </rPr>
      <t xml:space="preserve">件あたり平均仕入コスト（円）</t>
    </r>
  </si>
  <si>
    <t xml:space="preserve">仮の値。仕入れ判定シートの総仕入コスト平均が目安</t>
  </si>
  <si>
    <t xml:space="preserve">仕入れ→入金までの日数</t>
  </si>
  <si>
    <r>
      <rPr>
        <sz val="11"/>
        <rFont val="WenQuanYi Zen Hei"/>
        <family val="2"/>
      </rPr>
      <t xml:space="preserve">海外発送〜到着</t>
    </r>
    <r>
      <rPr>
        <sz val="11"/>
        <rFont val="Arial"/>
        <family val="0"/>
        <charset val="1"/>
      </rPr>
      <t xml:space="preserve">1</t>
    </r>
    <r>
      <rPr>
        <sz val="11"/>
        <rFont val="WenQuanYi Zen Hei"/>
        <family val="2"/>
      </rPr>
      <t xml:space="preserve">〜</t>
    </r>
    <r>
      <rPr>
        <sz val="11"/>
        <rFont val="Arial"/>
        <family val="0"/>
        <charset val="1"/>
      </rPr>
      <t xml:space="preserve">3</t>
    </r>
    <r>
      <rPr>
        <sz val="11"/>
        <rFont val="WenQuanYi Zen Hei"/>
        <family val="2"/>
      </rPr>
      <t xml:space="preserve">週間＋国内販売＋売上金入金までの目安</t>
    </r>
  </si>
  <si>
    <t xml:space="preserve">在庫が売れ残る割合（安全率）</t>
  </si>
  <si>
    <t xml:space="preserve">売れ残り・値下げに備えた資金の上乗せ</t>
  </si>
  <si>
    <r>
      <rPr>
        <b val="true"/>
        <sz val="11"/>
        <rFont val="WenQuanYi Zen Hei"/>
        <family val="2"/>
      </rPr>
      <t xml:space="preserve">必要な販売件数（件</t>
    </r>
    <r>
      <rPr>
        <b val="true"/>
        <sz val="11"/>
        <rFont val="Arial"/>
        <family val="0"/>
        <charset val="1"/>
      </rPr>
      <t xml:space="preserve">/</t>
    </r>
    <r>
      <rPr>
        <b val="true"/>
        <sz val="11"/>
        <rFont val="WenQuanYi Zen Hei"/>
        <family val="2"/>
      </rPr>
      <t xml:space="preserve">月）</t>
    </r>
  </si>
  <si>
    <r>
      <rPr>
        <sz val="11"/>
        <rFont val="WenQuanYi Zen Hei"/>
        <family val="2"/>
      </rPr>
      <t xml:space="preserve">目標利益 </t>
    </r>
    <r>
      <rPr>
        <sz val="11"/>
        <rFont val="Arial"/>
        <family val="0"/>
        <charset val="1"/>
      </rPr>
      <t xml:space="preserve">÷ 1</t>
    </r>
    <r>
      <rPr>
        <sz val="11"/>
        <rFont val="WenQuanYi Zen Hei"/>
        <family val="2"/>
      </rPr>
      <t xml:space="preserve">件利益</t>
    </r>
  </si>
  <si>
    <r>
      <rPr>
        <sz val="11"/>
        <rFont val="Arial"/>
        <family val="0"/>
        <charset val="1"/>
      </rPr>
      <t xml:space="preserve">1</t>
    </r>
    <r>
      <rPr>
        <sz val="11"/>
        <rFont val="WenQuanYi Zen Hei"/>
        <family val="2"/>
      </rPr>
      <t xml:space="preserve">日あたりの販売件数（件</t>
    </r>
    <r>
      <rPr>
        <sz val="11"/>
        <rFont val="Arial"/>
        <family val="0"/>
        <charset val="1"/>
      </rPr>
      <t xml:space="preserve">/</t>
    </r>
    <r>
      <rPr>
        <sz val="11"/>
        <rFont val="WenQuanYi Zen Hei"/>
        <family val="2"/>
      </rPr>
      <t xml:space="preserve">日）</t>
    </r>
  </si>
  <si>
    <t xml:space="preserve">月の仕入総額（円）</t>
  </si>
  <si>
    <r>
      <rPr>
        <sz val="11"/>
        <rFont val="WenQuanYi Zen Hei"/>
        <family val="2"/>
      </rPr>
      <t xml:space="preserve">必要件数 </t>
    </r>
    <r>
      <rPr>
        <sz val="11"/>
        <rFont val="Arial"/>
        <family val="0"/>
        <charset val="1"/>
      </rPr>
      <t xml:space="preserve">× 1</t>
    </r>
    <r>
      <rPr>
        <sz val="11"/>
        <rFont val="WenQuanYi Zen Hei"/>
        <family val="2"/>
      </rPr>
      <t xml:space="preserve">件仕入コスト</t>
    </r>
  </si>
  <si>
    <t xml:space="preserve">必要な運転資金の目安（円）</t>
  </si>
  <si>
    <r>
      <rPr>
        <sz val="11"/>
        <rFont val="WenQuanYi Zen Hei"/>
        <family val="2"/>
      </rPr>
      <t xml:space="preserve">月の仕入総額 </t>
    </r>
    <r>
      <rPr>
        <sz val="11"/>
        <rFont val="Arial"/>
        <family val="0"/>
        <charset val="1"/>
      </rPr>
      <t xml:space="preserve">× </t>
    </r>
    <r>
      <rPr>
        <sz val="11"/>
        <rFont val="WenQuanYi Zen Hei"/>
        <family val="2"/>
      </rPr>
      <t xml:space="preserve">回転日数</t>
    </r>
    <r>
      <rPr>
        <sz val="11"/>
        <rFont val="Arial"/>
        <family val="0"/>
        <charset val="1"/>
      </rPr>
      <t xml:space="preserve">/30 × (1+</t>
    </r>
    <r>
      <rPr>
        <sz val="11"/>
        <rFont val="WenQuanYi Zen Hei"/>
        <family val="2"/>
      </rPr>
      <t xml:space="preserve">安全率</t>
    </r>
    <r>
      <rPr>
        <sz val="11"/>
        <rFont val="Arial"/>
        <family val="0"/>
        <charset val="1"/>
      </rPr>
      <t xml:space="preserve">)</t>
    </r>
  </si>
  <si>
    <t xml:space="preserve">月の売上目安（円）</t>
  </si>
  <si>
    <t xml:space="preserve">手数料・送料込みの概算</t>
  </si>
  <si>
    <t xml:space="preserve">段階的な目標（小さく検証してから拡大）</t>
  </si>
  <si>
    <t xml:space="preserve">期間</t>
  </si>
  <si>
    <r>
      <rPr>
        <b val="true"/>
        <sz val="11"/>
        <color rgb="FFFFFFFF"/>
        <rFont val="WenQuanYi Zen Hei"/>
        <family val="2"/>
      </rPr>
      <t xml:space="preserve">目標利益</t>
    </r>
    <r>
      <rPr>
        <b val="true"/>
        <sz val="11"/>
        <color rgb="FFFFFFFF"/>
        <rFont val="Arial"/>
        <family val="0"/>
        <charset val="1"/>
      </rPr>
      <t xml:space="preserve">(</t>
    </r>
    <r>
      <rPr>
        <b val="true"/>
        <sz val="11"/>
        <color rgb="FFFFFFFF"/>
        <rFont val="WenQuanYi Zen Hei"/>
        <family val="2"/>
      </rPr>
      <t xml:space="preserve">円</t>
    </r>
    <r>
      <rPr>
        <b val="true"/>
        <sz val="11"/>
        <color rgb="FFFFFFFF"/>
        <rFont val="Arial"/>
        <family val="0"/>
        <charset val="1"/>
      </rPr>
      <t xml:space="preserve">)</t>
    </r>
  </si>
  <si>
    <r>
      <rPr>
        <b val="true"/>
        <sz val="11"/>
        <color rgb="FFFFFFFF"/>
        <rFont val="WenQuanYi Zen Hei"/>
        <family val="2"/>
      </rPr>
      <t xml:space="preserve">販売件数の目安</t>
    </r>
    <r>
      <rPr>
        <b val="true"/>
        <sz val="11"/>
        <color rgb="FFFFFFFF"/>
        <rFont val="Arial"/>
        <family val="0"/>
        <charset val="1"/>
      </rPr>
      <t xml:space="preserve">(</t>
    </r>
    <r>
      <rPr>
        <b val="true"/>
        <sz val="11"/>
        <color rgb="FFFFFFFF"/>
        <rFont val="WenQuanYi Zen Hei"/>
        <family val="2"/>
      </rPr>
      <t xml:space="preserve">件</t>
    </r>
    <r>
      <rPr>
        <b val="true"/>
        <sz val="11"/>
        <color rgb="FFFFFFFF"/>
        <rFont val="Arial"/>
        <family val="0"/>
        <charset val="1"/>
      </rPr>
      <t xml:space="preserve">)</t>
    </r>
  </si>
  <si>
    <t xml:space="preserve">やること</t>
  </si>
  <si>
    <r>
      <rPr>
        <sz val="11"/>
        <rFont val="Arial"/>
        <family val="0"/>
        <charset val="1"/>
      </rPr>
      <t xml:space="preserve">1</t>
    </r>
    <r>
      <rPr>
        <sz val="11"/>
        <rFont val="WenQuanYi Zen Hei"/>
        <family val="2"/>
      </rPr>
      <t xml:space="preserve">ヶ月目</t>
    </r>
  </si>
  <si>
    <r>
      <rPr>
        <sz val="11"/>
        <rFont val="WenQuanYi Zen Hei"/>
        <family val="2"/>
      </rPr>
      <t xml:space="preserve">相場リサーチ＋テスト仕入れ</t>
    </r>
    <r>
      <rPr>
        <sz val="11"/>
        <rFont val="Arial"/>
        <family val="0"/>
        <charset val="1"/>
      </rPr>
      <t xml:space="preserve">3</t>
    </r>
    <r>
      <rPr>
        <sz val="11"/>
        <rFont val="WenQuanYi Zen Hei"/>
        <family val="2"/>
      </rPr>
      <t xml:space="preserve">〜</t>
    </r>
    <r>
      <rPr>
        <sz val="11"/>
        <rFont val="Arial"/>
        <family val="0"/>
        <charset val="1"/>
      </rPr>
      <t xml:space="preserve">5</t>
    </r>
    <r>
      <rPr>
        <sz val="11"/>
        <rFont val="WenQuanYi Zen Hei"/>
        <family val="2"/>
      </rPr>
      <t xml:space="preserve">件。手数料・送料・到着日数の実数を把握</t>
    </r>
  </si>
  <si>
    <r>
      <rPr>
        <sz val="11"/>
        <rFont val="Arial"/>
        <family val="0"/>
        <charset val="1"/>
      </rPr>
      <t xml:space="preserve">2</t>
    </r>
    <r>
      <rPr>
        <sz val="11"/>
        <rFont val="WenQuanYi Zen Hei"/>
        <family val="2"/>
      </rPr>
      <t xml:space="preserve">ヶ月目</t>
    </r>
  </si>
  <si>
    <t xml:space="preserve">利益が出たジャンル・価格帯に絞って件数を増やす</t>
  </si>
  <si>
    <r>
      <rPr>
        <sz val="11"/>
        <rFont val="Arial"/>
        <family val="0"/>
        <charset val="1"/>
      </rPr>
      <t xml:space="preserve">3</t>
    </r>
    <r>
      <rPr>
        <sz val="11"/>
        <rFont val="WenQuanYi Zen Hei"/>
        <family val="2"/>
      </rPr>
      <t xml:space="preserve">ヶ月目</t>
    </r>
  </si>
  <si>
    <t xml:space="preserve">仕入先セラーを固定化し、まとめ買いで送料を圧縮</t>
  </si>
  <si>
    <r>
      <rPr>
        <sz val="11"/>
        <rFont val="Arial"/>
        <family val="0"/>
        <charset val="1"/>
      </rPr>
      <t xml:space="preserve">4</t>
    </r>
    <r>
      <rPr>
        <sz val="11"/>
        <rFont val="WenQuanYi Zen Hei"/>
        <family val="2"/>
      </rPr>
      <t xml:space="preserve">ヶ月目〜</t>
    </r>
  </si>
  <si>
    <r>
      <rPr>
        <sz val="11"/>
        <rFont val="WenQuanYi Zen Hei"/>
        <family val="2"/>
      </rPr>
      <t xml:space="preserve">月</t>
    </r>
    <r>
      <rPr>
        <sz val="11"/>
        <rFont val="Arial"/>
        <family val="0"/>
        <charset val="1"/>
      </rPr>
      <t xml:space="preserve">10</t>
    </r>
    <r>
      <rPr>
        <sz val="11"/>
        <rFont val="WenQuanYi Zen Hei"/>
        <family val="2"/>
      </rPr>
      <t xml:space="preserve">万円の安定化。取引記録を</t>
    </r>
    <r>
      <rPr>
        <sz val="11"/>
        <rFont val="Arial"/>
        <family val="0"/>
        <charset val="1"/>
      </rPr>
      <t xml:space="preserve">AI</t>
    </r>
    <r>
      <rPr>
        <sz val="11"/>
        <rFont val="WenQuanYi Zen Hei"/>
        <family val="2"/>
      </rPr>
      <t xml:space="preserve">で分析して勝ちパターンを強化</t>
    </r>
  </si>
  <si>
    <t xml:space="preserve">仕入日</t>
  </si>
  <si>
    <t xml:space="preserve">販売日</t>
  </si>
  <si>
    <t xml:space="preserve">型番</t>
  </si>
  <si>
    <t xml:space="preserve">状態</t>
  </si>
  <si>
    <t xml:space="preserve">販売先</t>
  </si>
  <si>
    <r>
      <rPr>
        <b val="true"/>
        <sz val="11"/>
        <color rgb="FFFFFFFF"/>
        <rFont val="WenQuanYi Zen Hei"/>
        <family val="2"/>
      </rPr>
      <t xml:space="preserve">販売価格</t>
    </r>
    <r>
      <rPr>
        <b val="true"/>
        <sz val="11"/>
        <color rgb="FFFFFFFF"/>
        <rFont val="Arial"/>
        <family val="0"/>
        <charset val="1"/>
      </rPr>
      <t xml:space="preserve">(</t>
    </r>
    <r>
      <rPr>
        <b val="true"/>
        <sz val="11"/>
        <color rgb="FFFFFFFF"/>
        <rFont val="WenQuanYi Zen Hei"/>
        <family val="2"/>
      </rPr>
      <t xml:space="preserve">円</t>
    </r>
    <r>
      <rPr>
        <b val="true"/>
        <sz val="11"/>
        <color rgb="FFFFFFFF"/>
        <rFont val="Arial"/>
        <family val="0"/>
        <charset val="1"/>
      </rPr>
      <t xml:space="preserve">)</t>
    </r>
  </si>
  <si>
    <t xml:space="preserve">在庫日数</t>
  </si>
  <si>
    <r>
      <rPr>
        <b val="true"/>
        <sz val="11"/>
        <color rgb="FFFFFFFF"/>
        <rFont val="WenQuanYi Zen Hei"/>
        <family val="2"/>
      </rPr>
      <t xml:space="preserve">メモ（なぜ仕入れた</t>
    </r>
    <r>
      <rPr>
        <b val="true"/>
        <sz val="11"/>
        <color rgb="FFFFFFFF"/>
        <rFont val="Arial"/>
        <family val="0"/>
        <charset val="1"/>
      </rPr>
      <t xml:space="preserve">/</t>
    </r>
    <r>
      <rPr>
        <b val="true"/>
        <sz val="11"/>
        <color rgb="FFFFFFFF"/>
        <rFont val="WenQuanYi Zen Hei"/>
        <family val="2"/>
      </rPr>
      <t xml:space="preserve">なぜ売れた）</t>
    </r>
  </si>
  <si>
    <r>
      <rPr>
        <b val="true"/>
        <sz val="11"/>
        <rFont val="WenQuanYi Zen Hei"/>
        <family val="2"/>
      </rPr>
      <t xml:space="preserve">合計利益</t>
    </r>
    <r>
      <rPr>
        <b val="true"/>
        <sz val="11"/>
        <rFont val="Arial"/>
        <family val="0"/>
        <charset val="1"/>
      </rPr>
      <t xml:space="preserve">(</t>
    </r>
    <r>
      <rPr>
        <b val="true"/>
        <sz val="11"/>
        <rFont val="WenQuanYi Zen Hei"/>
        <family val="2"/>
      </rPr>
      <t xml:space="preserve">円</t>
    </r>
    <r>
      <rPr>
        <b val="true"/>
        <sz val="11"/>
        <rFont val="Arial"/>
        <family val="0"/>
        <charset val="1"/>
      </rPr>
      <t xml:space="preserve">)</t>
    </r>
  </si>
  <si>
    <t xml:space="preserve">鑑定品</t>
  </si>
  <si>
    <t xml:space="preserve">メルカリ</t>
  </si>
  <si>
    <r>
      <rPr>
        <sz val="11"/>
        <color rgb="FF0000FF"/>
        <rFont val="WenQuanYi Zen Hei"/>
        <family val="2"/>
      </rPr>
      <t xml:space="preserve">海外</t>
    </r>
    <r>
      <rPr>
        <sz val="11"/>
        <color rgb="FF0000FF"/>
        <rFont val="Arial"/>
        <family val="0"/>
        <charset val="1"/>
      </rPr>
      <t xml:space="preserve">Sold</t>
    </r>
    <r>
      <rPr>
        <sz val="11"/>
        <color rgb="FF0000FF"/>
        <rFont val="WenQuanYi Zen Hei"/>
        <family val="2"/>
      </rPr>
      <t xml:space="preserve">より国内相場が高く、</t>
    </r>
    <r>
      <rPr>
        <sz val="11"/>
        <color rgb="FF0000FF"/>
        <rFont val="Arial"/>
        <family val="0"/>
        <charset val="1"/>
      </rPr>
      <t xml:space="preserve">PSA</t>
    </r>
    <r>
      <rPr>
        <sz val="11"/>
        <color rgb="FF0000FF"/>
        <rFont val="WenQuanYi Zen Hei"/>
        <family val="2"/>
      </rPr>
      <t xml:space="preserve">証明番号で真贋確認済み</t>
    </r>
  </si>
  <si>
    <t xml:space="preserve">取引件数</t>
  </si>
  <si>
    <r>
      <rPr>
        <b val="true"/>
        <sz val="11"/>
        <rFont val="WenQuanYi Zen Hei"/>
        <family val="2"/>
      </rPr>
      <t xml:space="preserve">平均利益</t>
    </r>
    <r>
      <rPr>
        <b val="true"/>
        <sz val="11"/>
        <rFont val="Arial"/>
        <family val="0"/>
        <charset val="1"/>
      </rPr>
      <t xml:space="preserve">(</t>
    </r>
    <r>
      <rPr>
        <b val="true"/>
        <sz val="11"/>
        <rFont val="WenQuanYi Zen Hei"/>
        <family val="2"/>
      </rPr>
      <t xml:space="preserve">円</t>
    </r>
    <r>
      <rPr>
        <b val="true"/>
        <sz val="11"/>
        <rFont val="Arial"/>
        <family val="0"/>
        <charset val="1"/>
      </rPr>
      <t xml:space="preserve">)</t>
    </r>
  </si>
  <si>
    <t xml:space="preserve">平均在庫日数</t>
  </si>
</sst>
</file>

<file path=xl/styles.xml><?xml version="1.0" encoding="utf-8"?>
<styleSheet xmlns="http://schemas.openxmlformats.org/spreadsheetml/2006/main">
  <numFmts count="8">
    <numFmt numFmtId="164" formatCode="General"/>
    <numFmt numFmtId="165" formatCode="0.00"/>
    <numFmt numFmtId="166" formatCode="0.0%;\(0.0%\);\-"/>
    <numFmt numFmtId="167" formatCode="\¥#,##0;&quot;(¥&quot;#,##0\);\-"/>
    <numFmt numFmtId="168" formatCode="\$#,##0.00;&quot;($&quot;#,##0.00\);\-"/>
    <numFmt numFmtId="169" formatCode="0"/>
    <numFmt numFmtId="170" formatCode="0.0"/>
    <numFmt numFmtId="171" formatCode="yyyy\-mm\-dd"/>
  </numFmts>
  <fonts count="20">
    <font>
      <sz val="11"/>
      <color theme="1"/>
      <name val="Calibri"/>
      <family val="2"/>
      <charset val="1"/>
    </font>
    <font>
      <sz val="10"/>
      <name val="Arial"/>
      <family val="0"/>
    </font>
    <font>
      <sz val="10"/>
      <name val="Arial"/>
      <family val="0"/>
    </font>
    <font>
      <sz val="10"/>
      <name val="Arial"/>
      <family val="0"/>
    </font>
    <font>
      <b val="true"/>
      <sz val="14"/>
      <name val="WenQuanYi Zen Hei"/>
      <family val="2"/>
    </font>
    <font>
      <sz val="11"/>
      <color theme="1"/>
      <name val="Arial"/>
      <family val="0"/>
      <charset val="1"/>
    </font>
    <font>
      <sz val="11"/>
      <name val="WenQuanYi Zen Hei"/>
      <family val="2"/>
    </font>
    <font>
      <b val="true"/>
      <sz val="11"/>
      <color rgb="FFFFFFFF"/>
      <name val="WenQuanYi Zen Hei"/>
      <family val="2"/>
    </font>
    <font>
      <sz val="11"/>
      <name val="Arial"/>
      <family val="0"/>
      <charset val="1"/>
    </font>
    <font>
      <sz val="11"/>
      <color rgb="FF0000FF"/>
      <name val="Arial"/>
      <family val="0"/>
      <charset val="1"/>
    </font>
    <font>
      <i val="true"/>
      <sz val="11"/>
      <name val="WenQuanYi Zen Hei"/>
      <family val="2"/>
    </font>
    <font>
      <b val="true"/>
      <sz val="11"/>
      <color rgb="FFFFFFFF"/>
      <name val="Arial"/>
      <family val="0"/>
      <charset val="1"/>
    </font>
    <font>
      <sz val="11"/>
      <color rgb="FF0000FF"/>
      <name val="WenQuanYi Zen Hei"/>
      <family val="2"/>
    </font>
    <font>
      <i val="true"/>
      <sz val="11"/>
      <name val="Arial"/>
      <family val="0"/>
      <charset val="1"/>
    </font>
    <font>
      <sz val="10"/>
      <name val="Arial"/>
      <family val="2"/>
    </font>
    <font>
      <sz val="10"/>
      <name val="WenQuanYi Zen Hei"/>
      <family val="2"/>
    </font>
    <font>
      <b val="true"/>
      <sz val="14"/>
      <name val="Arial"/>
      <family val="0"/>
      <charset val="1"/>
    </font>
    <font>
      <sz val="11"/>
      <color rgb="FF008000"/>
      <name val="Arial"/>
      <family val="0"/>
      <charset val="1"/>
    </font>
    <font>
      <b val="true"/>
      <sz val="11"/>
      <name val="WenQuanYi Zen Hei"/>
      <family val="2"/>
    </font>
    <font>
      <b val="true"/>
      <sz val="11"/>
      <name val="Arial"/>
      <family val="0"/>
      <charset val="1"/>
    </font>
  </fonts>
  <fills count="4">
    <fill>
      <patternFill patternType="none"/>
    </fill>
    <fill>
      <patternFill patternType="gray125"/>
    </fill>
    <fill>
      <patternFill patternType="solid">
        <fgColor rgb="FF305496"/>
        <bgColor rgb="FF666699"/>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7" fontId="9" fillId="3"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12" fillId="3"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8" fontId="9" fillId="3"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7" fontId="17" fillId="0" borderId="1" xfId="0" applyFont="true" applyBorder="true" applyAlignment="false" applyProtection="false">
      <alignment horizontal="general" vertical="bottom" textRotation="0" wrapText="false" indent="0" shrinkToFit="false"/>
      <protection locked="true" hidden="false"/>
    </xf>
    <xf numFmtId="169" fontId="9" fillId="3" borderId="1" xfId="0" applyFont="tru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false" applyProtection="false">
      <alignment horizontal="general" vertical="bottom" textRotation="0" wrapText="false" indent="0" shrinkToFit="false"/>
      <protection locked="true" hidden="false"/>
    </xf>
    <xf numFmtId="169" fontId="19"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7" fontId="19" fillId="0" borderId="1"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bottom" textRotation="0" wrapText="true" indent="0" shrinkToFit="false"/>
      <protection locked="true" hidden="false"/>
    </xf>
    <xf numFmtId="167" fontId="19" fillId="0" borderId="0" xfId="0" applyFont="true" applyBorder="false" applyAlignment="false" applyProtection="false">
      <alignment horizontal="general" vertical="bottom" textRotation="0" wrapText="false" indent="0" shrinkToFit="false"/>
      <protection locked="true" hidden="false"/>
    </xf>
    <xf numFmtId="171" fontId="9"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70" fontId="1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0"/>
        <b val="1"/>
        <color rgb="FF006100"/>
      </font>
      <fill>
        <patternFill>
          <bgColor rgb="FFC6EFCE"/>
        </patternFill>
      </fill>
    </dxf>
    <dxf>
      <font>
        <name val="Arial"/>
        <charset val="1"/>
        <family val="0"/>
        <b val="1"/>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61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3" min="3" style="0" width="90"/>
  </cols>
  <sheetData>
    <row r="1" customFormat="false" ht="17.35" hidden="false" customHeight="false" outlineLevel="0" collapsed="false">
      <c r="A1" s="1" t="s">
        <v>0</v>
      </c>
      <c r="B1" s="2"/>
      <c r="C1" s="2"/>
    </row>
    <row r="2" customFormat="false" ht="15" hidden="false" customHeight="false" outlineLevel="0" collapsed="false">
      <c r="A2" s="3" t="s">
        <v>1</v>
      </c>
      <c r="B2" s="2"/>
      <c r="C2" s="2"/>
    </row>
    <row r="3" customFormat="false" ht="15" hidden="false" customHeight="false" outlineLevel="0" collapsed="false">
      <c r="A3" s="2"/>
      <c r="B3" s="2"/>
      <c r="C3" s="2"/>
    </row>
    <row r="4" customFormat="false" ht="15" hidden="false" customHeight="false" outlineLevel="0" collapsed="false">
      <c r="A4" s="4" t="s">
        <v>2</v>
      </c>
      <c r="B4" s="4" t="s">
        <v>3</v>
      </c>
      <c r="C4" s="4" t="s">
        <v>4</v>
      </c>
    </row>
    <row r="5" customFormat="false" ht="15" hidden="false" customHeight="false" outlineLevel="0" collapsed="false">
      <c r="A5" s="5" t="s">
        <v>5</v>
      </c>
      <c r="B5" s="6" t="n">
        <v>150</v>
      </c>
      <c r="C5" s="5" t="s">
        <v>6</v>
      </c>
    </row>
    <row r="6" customFormat="false" ht="15" hidden="false" customHeight="false" outlineLevel="0" collapsed="false">
      <c r="A6" s="5" t="s">
        <v>7</v>
      </c>
      <c r="B6" s="7" t="n">
        <v>0.025</v>
      </c>
      <c r="C6" s="5" t="s">
        <v>8</v>
      </c>
    </row>
    <row r="7" customFormat="false" ht="15" hidden="false" customHeight="false" outlineLevel="0" collapsed="false">
      <c r="A7" s="5" t="s">
        <v>9</v>
      </c>
      <c r="B7" s="7" t="n">
        <v>0</v>
      </c>
      <c r="C7" s="5" t="s">
        <v>10</v>
      </c>
    </row>
    <row r="8" customFormat="false" ht="15" hidden="false" customHeight="false" outlineLevel="0" collapsed="false">
      <c r="A8" s="5" t="s">
        <v>11</v>
      </c>
      <c r="B8" s="7" t="n">
        <v>0.1</v>
      </c>
      <c r="C8" s="5" t="s">
        <v>12</v>
      </c>
    </row>
    <row r="9" customFormat="false" ht="15" hidden="false" customHeight="false" outlineLevel="0" collapsed="false">
      <c r="A9" s="5" t="s">
        <v>13</v>
      </c>
      <c r="B9" s="8" t="n">
        <v>10000</v>
      </c>
      <c r="C9" s="9" t="s">
        <v>14</v>
      </c>
    </row>
    <row r="10" customFormat="false" ht="15" hidden="false" customHeight="false" outlineLevel="0" collapsed="false">
      <c r="A10" s="5" t="s">
        <v>15</v>
      </c>
      <c r="B10" s="8" t="n">
        <v>200</v>
      </c>
      <c r="C10" s="5" t="s">
        <v>16</v>
      </c>
    </row>
    <row r="11" customFormat="false" ht="15" hidden="false" customHeight="false" outlineLevel="0" collapsed="false">
      <c r="A11" s="5" t="s">
        <v>17</v>
      </c>
      <c r="B11" s="7" t="n">
        <v>0.1</v>
      </c>
      <c r="C11" s="5" t="s">
        <v>18</v>
      </c>
    </row>
    <row r="12" customFormat="false" ht="15" hidden="false" customHeight="false" outlineLevel="0" collapsed="false">
      <c r="A12" s="5" t="s">
        <v>19</v>
      </c>
      <c r="B12" s="8" t="n">
        <v>230</v>
      </c>
      <c r="C12" s="5" t="s">
        <v>20</v>
      </c>
    </row>
    <row r="13" customFormat="false" ht="15" hidden="false" customHeight="false" outlineLevel="0" collapsed="false">
      <c r="A13" s="5" t="s">
        <v>21</v>
      </c>
      <c r="B13" s="8" t="n">
        <v>3000</v>
      </c>
      <c r="C13" s="5" t="s">
        <v>22</v>
      </c>
    </row>
    <row r="14" customFormat="false" ht="15" hidden="false" customHeight="false" outlineLevel="0" collapsed="false">
      <c r="A14" s="5" t="s">
        <v>23</v>
      </c>
      <c r="B14" s="7" t="n">
        <v>0.15</v>
      </c>
      <c r="C14" s="5" t="s">
        <v>24</v>
      </c>
    </row>
    <row r="15" customFormat="false" ht="15" hidden="false" customHeight="false" outlineLevel="0" collapsed="false">
      <c r="A15" s="5" t="s">
        <v>25</v>
      </c>
      <c r="B15" s="8" t="n">
        <v>100000</v>
      </c>
      <c r="C15" s="5" t="s">
        <v>26</v>
      </c>
    </row>
    <row r="16" customFormat="false" ht="15" hidden="false" customHeight="false" outlineLevel="0" collapsed="false">
      <c r="A16" s="2"/>
      <c r="B16" s="2"/>
      <c r="C16" s="2"/>
    </row>
    <row r="17" customFormat="false" ht="15" hidden="false" customHeight="false" outlineLevel="0" collapsed="false">
      <c r="A17" s="2"/>
      <c r="B17" s="2"/>
      <c r="C17" s="2"/>
    </row>
    <row r="18" customFormat="false" ht="15" hidden="false" customHeight="false" outlineLevel="0" collapsed="false">
      <c r="A18" s="10" t="s">
        <v>27</v>
      </c>
      <c r="B18" s="2"/>
      <c r="C18"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14"/>
    <col collapsed="false" customWidth="true" hidden="false" outlineLevel="0" max="3" min="3" style="0" width="10"/>
    <col collapsed="false" customWidth="true" hidden="false" outlineLevel="0" max="5" min="4" style="0" width="12"/>
    <col collapsed="false" customWidth="true" hidden="false" outlineLevel="0" max="7" min="6" style="0" width="14"/>
    <col collapsed="false" customWidth="true" hidden="false" outlineLevel="0" max="8" min="8" style="0" width="22"/>
    <col collapsed="false" customWidth="true" hidden="false" outlineLevel="0" max="10" min="9" style="0" width="13"/>
    <col collapsed="false" customWidth="true" hidden="false" outlineLevel="0" max="11" min="11" style="0" width="10"/>
    <col collapsed="false" customWidth="true" hidden="false" outlineLevel="0" max="12" min="12" style="0" width="13"/>
    <col collapsed="false" customWidth="true" hidden="false" outlineLevel="0" max="13" min="13" style="0" width="12"/>
    <col collapsed="false" customWidth="true" hidden="false" outlineLevel="0" max="14" min="14" style="0" width="14"/>
    <col collapsed="false" customWidth="true" hidden="false" outlineLevel="0" max="15" min="15" style="0" width="13"/>
    <col collapsed="false" customWidth="true" hidden="false" outlineLevel="0" max="16" min="16" style="0" width="11"/>
    <col collapsed="false" customWidth="true" hidden="false" outlineLevel="0" max="17" min="17" style="0" width="12"/>
    <col collapsed="false" customWidth="true" hidden="false" outlineLevel="0" max="18" min="18" style="0" width="9"/>
    <col collapsed="false" customWidth="true" hidden="false" outlineLevel="0" max="19" min="19" style="0" width="10"/>
  </cols>
  <sheetData>
    <row r="1" customFormat="false" ht="36" hidden="false" customHeight="true" outlineLevel="0" collapsed="false">
      <c r="A1" s="11" t="s">
        <v>28</v>
      </c>
      <c r="B1" s="11" t="s">
        <v>29</v>
      </c>
      <c r="C1" s="11" t="s">
        <v>30</v>
      </c>
      <c r="D1" s="11" t="s">
        <v>31</v>
      </c>
      <c r="E1" s="11" t="s">
        <v>32</v>
      </c>
      <c r="F1" s="11" t="s">
        <v>33</v>
      </c>
      <c r="G1" s="11" t="s">
        <v>34</v>
      </c>
      <c r="H1" s="11" t="s">
        <v>35</v>
      </c>
      <c r="I1" s="11" t="s">
        <v>36</v>
      </c>
      <c r="J1" s="11" t="s">
        <v>37</v>
      </c>
      <c r="K1" s="11" t="s">
        <v>38</v>
      </c>
      <c r="L1" s="11" t="s">
        <v>39</v>
      </c>
      <c r="M1" s="11" t="s">
        <v>40</v>
      </c>
      <c r="N1" s="11" t="s">
        <v>41</v>
      </c>
      <c r="O1" s="11" t="s">
        <v>42</v>
      </c>
      <c r="P1" s="11" t="s">
        <v>43</v>
      </c>
      <c r="Q1" s="11" t="s">
        <v>44</v>
      </c>
      <c r="R1" s="11" t="s">
        <v>45</v>
      </c>
      <c r="S1" s="11" t="s">
        <v>46</v>
      </c>
    </row>
    <row r="2" customFormat="false" ht="15" hidden="false" customHeight="false" outlineLevel="0" collapsed="false">
      <c r="A2" s="12" t="s">
        <v>47</v>
      </c>
      <c r="B2" s="13" t="s">
        <v>48</v>
      </c>
      <c r="C2" s="13" t="s">
        <v>49</v>
      </c>
      <c r="D2" s="14" t="n">
        <v>180</v>
      </c>
      <c r="E2" s="14" t="n">
        <v>25</v>
      </c>
      <c r="F2" s="8" t="n">
        <v>1500</v>
      </c>
      <c r="G2" s="8" t="n">
        <v>45000</v>
      </c>
      <c r="H2" s="12" t="s">
        <v>50</v>
      </c>
      <c r="I2" s="15" t="n">
        <f aca="false">IF(D2="","",(D2+E2)*設定!$B$5*(1+設定!$B$6)+F2)</f>
        <v>33018.75</v>
      </c>
      <c r="J2" s="15" t="n">
        <f aca="false">IF(D2="","",ROUND((D2+E2)*設定!$B$5,0))</f>
        <v>30750</v>
      </c>
      <c r="K2" s="15" t="n">
        <f aca="false">IF(D2="","",IF(J2&lt;=設定!$B$9,0,ROUNDDOWN(J2*設定!$B$7,0)))</f>
        <v>0</v>
      </c>
      <c r="L2" s="15" t="n">
        <f aca="false">IF(D2="","",IF(J2&lt;=設定!$B$9,0,ROUNDDOWN((J2+K2)*設定!$B$8,0)))</f>
        <v>3075</v>
      </c>
      <c r="M2" s="15" t="n">
        <f aca="false">IF(D2="","",IF(J2&lt;=設定!$B$9,0,設定!$B$10))</f>
        <v>200</v>
      </c>
      <c r="N2" s="15" t="n">
        <f aca="false">IF(D2="","",I2+K2+L2+M2)</f>
        <v>36293.75</v>
      </c>
      <c r="O2" s="15" t="n">
        <f aca="false">IF(G2="","",ROUNDDOWN(G2*設定!$B$11,0))</f>
        <v>4500</v>
      </c>
      <c r="P2" s="15" t="n">
        <f aca="false">IF(G2="","",設定!$B$12)</f>
        <v>230</v>
      </c>
      <c r="Q2" s="15" t="n">
        <f aca="false">IF(OR(D2="",G2=""),"",G2-O2-P2-N2)</f>
        <v>3976.25</v>
      </c>
      <c r="R2" s="16" t="n">
        <f aca="false">IF(OR(Q2="",G2=0),"",Q2/G2)</f>
        <v>0.0883611111111111</v>
      </c>
      <c r="S2" s="5" t="str">
        <f aca="false">IF(Q2="","",IF(AND(Q2&gt;=設定!$B$13,R2&gt;=設定!$B$14),"仕入れOK","見送り"))</f>
        <v>見送り</v>
      </c>
    </row>
    <row r="3" customFormat="false" ht="15" hidden="false" customHeight="false" outlineLevel="0" collapsed="false">
      <c r="A3" s="13"/>
      <c r="B3" s="13"/>
      <c r="C3" s="13"/>
      <c r="D3" s="14"/>
      <c r="E3" s="14"/>
      <c r="F3" s="8"/>
      <c r="G3" s="8"/>
      <c r="H3" s="13"/>
      <c r="I3" s="15" t="str">
        <f aca="false">IF(D3="","",(D3+E3)*設定!$B$5*(1+設定!$B$6)+F3)</f>
        <v/>
      </c>
      <c r="J3" s="15" t="str">
        <f aca="false">IF(D3="","",ROUND((D3+E3)*設定!$B$5,0))</f>
        <v/>
      </c>
      <c r="K3" s="15" t="str">
        <f aca="false">IF(D3="","",IF(J3&lt;=設定!$B$9,0,ROUNDDOWN(J3*設定!$B$7,0)))</f>
        <v/>
      </c>
      <c r="L3" s="15" t="str">
        <f aca="false">IF(D3="","",IF(J3&lt;=設定!$B$9,0,ROUNDDOWN((J3+K3)*設定!$B$8,0)))</f>
        <v/>
      </c>
      <c r="M3" s="15" t="str">
        <f aca="false">IF(D3="","",IF(J3&lt;=設定!$B$9,0,設定!$B$10))</f>
        <v/>
      </c>
      <c r="N3" s="15" t="str">
        <f aca="false">IF(D3="","",I3+K3+L3+M3)</f>
        <v/>
      </c>
      <c r="O3" s="15" t="str">
        <f aca="false">IF(G3="","",ROUNDDOWN(G3*設定!$B$11,0))</f>
        <v/>
      </c>
      <c r="P3" s="15" t="str">
        <f aca="false">IF(G3="","",設定!$B$12)</f>
        <v/>
      </c>
      <c r="Q3" s="15" t="str">
        <f aca="false">IF(OR(D3="",G3=""),"",G3-O3-P3-N3)</f>
        <v/>
      </c>
      <c r="R3" s="16" t="str">
        <f aca="false">IF(OR(Q3="",G3=0),"",Q3/G3)</f>
        <v/>
      </c>
      <c r="S3" s="5" t="str">
        <f aca="false">IF(Q3="","",IF(AND(Q3&gt;=設定!$B$13,R3&gt;=設定!$B$14),"仕入れOK","見送り"))</f>
        <v/>
      </c>
    </row>
    <row r="4" customFormat="false" ht="15" hidden="false" customHeight="false" outlineLevel="0" collapsed="false">
      <c r="A4" s="13"/>
      <c r="B4" s="13"/>
      <c r="C4" s="13"/>
      <c r="D4" s="14"/>
      <c r="E4" s="14"/>
      <c r="F4" s="8"/>
      <c r="G4" s="8"/>
      <c r="H4" s="13"/>
      <c r="I4" s="15" t="str">
        <f aca="false">IF(D4="","",(D4+E4)*設定!$B$5*(1+設定!$B$6)+F4)</f>
        <v/>
      </c>
      <c r="J4" s="15" t="str">
        <f aca="false">IF(D4="","",ROUND((D4+E4)*設定!$B$5,0))</f>
        <v/>
      </c>
      <c r="K4" s="15" t="str">
        <f aca="false">IF(D4="","",IF(J4&lt;=設定!$B$9,0,ROUNDDOWN(J4*設定!$B$7,0)))</f>
        <v/>
      </c>
      <c r="L4" s="15" t="str">
        <f aca="false">IF(D4="","",IF(J4&lt;=設定!$B$9,0,ROUNDDOWN((J4+K4)*設定!$B$8,0)))</f>
        <v/>
      </c>
      <c r="M4" s="15" t="str">
        <f aca="false">IF(D4="","",IF(J4&lt;=設定!$B$9,0,設定!$B$10))</f>
        <v/>
      </c>
      <c r="N4" s="15" t="str">
        <f aca="false">IF(D4="","",I4+K4+L4+M4)</f>
        <v/>
      </c>
      <c r="O4" s="15" t="str">
        <f aca="false">IF(G4="","",ROUNDDOWN(G4*設定!$B$11,0))</f>
        <v/>
      </c>
      <c r="P4" s="15" t="str">
        <f aca="false">IF(G4="","",設定!$B$12)</f>
        <v/>
      </c>
      <c r="Q4" s="15" t="str">
        <f aca="false">IF(OR(D4="",G4=""),"",G4-O4-P4-N4)</f>
        <v/>
      </c>
      <c r="R4" s="16" t="str">
        <f aca="false">IF(OR(Q4="",G4=0),"",Q4/G4)</f>
        <v/>
      </c>
      <c r="S4" s="5" t="str">
        <f aca="false">IF(Q4="","",IF(AND(Q4&gt;=設定!$B$13,R4&gt;=設定!$B$14),"仕入れOK","見送り"))</f>
        <v/>
      </c>
    </row>
    <row r="5" customFormat="false" ht="15" hidden="false" customHeight="false" outlineLevel="0" collapsed="false">
      <c r="A5" s="13"/>
      <c r="B5" s="13"/>
      <c r="C5" s="13"/>
      <c r="D5" s="14"/>
      <c r="E5" s="14"/>
      <c r="F5" s="8"/>
      <c r="G5" s="8"/>
      <c r="H5" s="13"/>
      <c r="I5" s="15" t="str">
        <f aca="false">IF(D5="","",(D5+E5)*設定!$B$5*(1+設定!$B$6)+F5)</f>
        <v/>
      </c>
      <c r="J5" s="15" t="str">
        <f aca="false">IF(D5="","",ROUND((D5+E5)*設定!$B$5,0))</f>
        <v/>
      </c>
      <c r="K5" s="15" t="str">
        <f aca="false">IF(D5="","",IF(J5&lt;=設定!$B$9,0,ROUNDDOWN(J5*設定!$B$7,0)))</f>
        <v/>
      </c>
      <c r="L5" s="15" t="str">
        <f aca="false">IF(D5="","",IF(J5&lt;=設定!$B$9,0,ROUNDDOWN((J5+K5)*設定!$B$8,0)))</f>
        <v/>
      </c>
      <c r="M5" s="15" t="str">
        <f aca="false">IF(D5="","",IF(J5&lt;=設定!$B$9,0,設定!$B$10))</f>
        <v/>
      </c>
      <c r="N5" s="15" t="str">
        <f aca="false">IF(D5="","",I5+K5+L5+M5)</f>
        <v/>
      </c>
      <c r="O5" s="15" t="str">
        <f aca="false">IF(G5="","",ROUNDDOWN(G5*設定!$B$11,0))</f>
        <v/>
      </c>
      <c r="P5" s="15" t="str">
        <f aca="false">IF(G5="","",設定!$B$12)</f>
        <v/>
      </c>
      <c r="Q5" s="15" t="str">
        <f aca="false">IF(OR(D5="",G5=""),"",G5-O5-P5-N5)</f>
        <v/>
      </c>
      <c r="R5" s="16" t="str">
        <f aca="false">IF(OR(Q5="",G5=0),"",Q5/G5)</f>
        <v/>
      </c>
      <c r="S5" s="5" t="str">
        <f aca="false">IF(Q5="","",IF(AND(Q5&gt;=設定!$B$13,R5&gt;=設定!$B$14),"仕入れOK","見送り"))</f>
        <v/>
      </c>
    </row>
    <row r="6" customFormat="false" ht="15" hidden="false" customHeight="false" outlineLevel="0" collapsed="false">
      <c r="A6" s="13"/>
      <c r="B6" s="13"/>
      <c r="C6" s="13"/>
      <c r="D6" s="14"/>
      <c r="E6" s="14"/>
      <c r="F6" s="8"/>
      <c r="G6" s="8"/>
      <c r="H6" s="13"/>
      <c r="I6" s="15" t="str">
        <f aca="false">IF(D6="","",(D6+E6)*設定!$B$5*(1+設定!$B$6)+F6)</f>
        <v/>
      </c>
      <c r="J6" s="15" t="str">
        <f aca="false">IF(D6="","",ROUND((D6+E6)*設定!$B$5,0))</f>
        <v/>
      </c>
      <c r="K6" s="15" t="str">
        <f aca="false">IF(D6="","",IF(J6&lt;=設定!$B$9,0,ROUNDDOWN(J6*設定!$B$7,0)))</f>
        <v/>
      </c>
      <c r="L6" s="15" t="str">
        <f aca="false">IF(D6="","",IF(J6&lt;=設定!$B$9,0,ROUNDDOWN((J6+K6)*設定!$B$8,0)))</f>
        <v/>
      </c>
      <c r="M6" s="15" t="str">
        <f aca="false">IF(D6="","",IF(J6&lt;=設定!$B$9,0,設定!$B$10))</f>
        <v/>
      </c>
      <c r="N6" s="15" t="str">
        <f aca="false">IF(D6="","",I6+K6+L6+M6)</f>
        <v/>
      </c>
      <c r="O6" s="15" t="str">
        <f aca="false">IF(G6="","",ROUNDDOWN(G6*設定!$B$11,0))</f>
        <v/>
      </c>
      <c r="P6" s="15" t="str">
        <f aca="false">IF(G6="","",設定!$B$12)</f>
        <v/>
      </c>
      <c r="Q6" s="15" t="str">
        <f aca="false">IF(OR(D6="",G6=""),"",G6-O6-P6-N6)</f>
        <v/>
      </c>
      <c r="R6" s="16" t="str">
        <f aca="false">IF(OR(Q6="",G6=0),"",Q6/G6)</f>
        <v/>
      </c>
      <c r="S6" s="5" t="str">
        <f aca="false">IF(Q6="","",IF(AND(Q6&gt;=設定!$B$13,R6&gt;=設定!$B$14),"仕入れOK","見送り"))</f>
        <v/>
      </c>
    </row>
    <row r="7" customFormat="false" ht="15" hidden="false" customHeight="false" outlineLevel="0" collapsed="false">
      <c r="A7" s="13"/>
      <c r="B7" s="13"/>
      <c r="C7" s="13"/>
      <c r="D7" s="14"/>
      <c r="E7" s="14"/>
      <c r="F7" s="8"/>
      <c r="G7" s="8"/>
      <c r="H7" s="13"/>
      <c r="I7" s="15" t="str">
        <f aca="false">IF(D7="","",(D7+E7)*設定!$B$5*(1+設定!$B$6)+F7)</f>
        <v/>
      </c>
      <c r="J7" s="15" t="str">
        <f aca="false">IF(D7="","",ROUND((D7+E7)*設定!$B$5,0))</f>
        <v/>
      </c>
      <c r="K7" s="15" t="str">
        <f aca="false">IF(D7="","",IF(J7&lt;=設定!$B$9,0,ROUNDDOWN(J7*設定!$B$7,0)))</f>
        <v/>
      </c>
      <c r="L7" s="15" t="str">
        <f aca="false">IF(D7="","",IF(J7&lt;=設定!$B$9,0,ROUNDDOWN((J7+K7)*設定!$B$8,0)))</f>
        <v/>
      </c>
      <c r="M7" s="15" t="str">
        <f aca="false">IF(D7="","",IF(J7&lt;=設定!$B$9,0,設定!$B$10))</f>
        <v/>
      </c>
      <c r="N7" s="15" t="str">
        <f aca="false">IF(D7="","",I7+K7+L7+M7)</f>
        <v/>
      </c>
      <c r="O7" s="15" t="str">
        <f aca="false">IF(G7="","",ROUNDDOWN(G7*設定!$B$11,0))</f>
        <v/>
      </c>
      <c r="P7" s="15" t="str">
        <f aca="false">IF(G7="","",設定!$B$12)</f>
        <v/>
      </c>
      <c r="Q7" s="15" t="str">
        <f aca="false">IF(OR(D7="",G7=""),"",G7-O7-P7-N7)</f>
        <v/>
      </c>
      <c r="R7" s="16" t="str">
        <f aca="false">IF(OR(Q7="",G7=0),"",Q7/G7)</f>
        <v/>
      </c>
      <c r="S7" s="5" t="str">
        <f aca="false">IF(Q7="","",IF(AND(Q7&gt;=設定!$B$13,R7&gt;=設定!$B$14),"仕入れOK","見送り"))</f>
        <v/>
      </c>
    </row>
    <row r="8" customFormat="false" ht="15" hidden="false" customHeight="false" outlineLevel="0" collapsed="false">
      <c r="A8" s="13"/>
      <c r="B8" s="13"/>
      <c r="C8" s="13"/>
      <c r="D8" s="14"/>
      <c r="E8" s="14"/>
      <c r="F8" s="8"/>
      <c r="G8" s="8"/>
      <c r="H8" s="13"/>
      <c r="I8" s="15" t="str">
        <f aca="false">IF(D8="","",(D8+E8)*設定!$B$5*(1+設定!$B$6)+F8)</f>
        <v/>
      </c>
      <c r="J8" s="15" t="str">
        <f aca="false">IF(D8="","",ROUND((D8+E8)*設定!$B$5,0))</f>
        <v/>
      </c>
      <c r="K8" s="15" t="str">
        <f aca="false">IF(D8="","",IF(J8&lt;=設定!$B$9,0,ROUNDDOWN(J8*設定!$B$7,0)))</f>
        <v/>
      </c>
      <c r="L8" s="15" t="str">
        <f aca="false">IF(D8="","",IF(J8&lt;=設定!$B$9,0,ROUNDDOWN((J8+K8)*設定!$B$8,0)))</f>
        <v/>
      </c>
      <c r="M8" s="15" t="str">
        <f aca="false">IF(D8="","",IF(J8&lt;=設定!$B$9,0,設定!$B$10))</f>
        <v/>
      </c>
      <c r="N8" s="15" t="str">
        <f aca="false">IF(D8="","",I8+K8+L8+M8)</f>
        <v/>
      </c>
      <c r="O8" s="15" t="str">
        <f aca="false">IF(G8="","",ROUNDDOWN(G8*設定!$B$11,0))</f>
        <v/>
      </c>
      <c r="P8" s="15" t="str">
        <f aca="false">IF(G8="","",設定!$B$12)</f>
        <v/>
      </c>
      <c r="Q8" s="15" t="str">
        <f aca="false">IF(OR(D8="",G8=""),"",G8-O8-P8-N8)</f>
        <v/>
      </c>
      <c r="R8" s="16" t="str">
        <f aca="false">IF(OR(Q8="",G8=0),"",Q8/G8)</f>
        <v/>
      </c>
      <c r="S8" s="5" t="str">
        <f aca="false">IF(Q8="","",IF(AND(Q8&gt;=設定!$B$13,R8&gt;=設定!$B$14),"仕入れOK","見送り"))</f>
        <v/>
      </c>
    </row>
    <row r="9" customFormat="false" ht="15" hidden="false" customHeight="false" outlineLevel="0" collapsed="false">
      <c r="A9" s="13"/>
      <c r="B9" s="13"/>
      <c r="C9" s="13"/>
      <c r="D9" s="14"/>
      <c r="E9" s="14"/>
      <c r="F9" s="8"/>
      <c r="G9" s="8"/>
      <c r="H9" s="13"/>
      <c r="I9" s="15" t="str">
        <f aca="false">IF(D9="","",(D9+E9)*設定!$B$5*(1+設定!$B$6)+F9)</f>
        <v/>
      </c>
      <c r="J9" s="15" t="str">
        <f aca="false">IF(D9="","",ROUND((D9+E9)*設定!$B$5,0))</f>
        <v/>
      </c>
      <c r="K9" s="15" t="str">
        <f aca="false">IF(D9="","",IF(J9&lt;=設定!$B$9,0,ROUNDDOWN(J9*設定!$B$7,0)))</f>
        <v/>
      </c>
      <c r="L9" s="15" t="str">
        <f aca="false">IF(D9="","",IF(J9&lt;=設定!$B$9,0,ROUNDDOWN((J9+K9)*設定!$B$8,0)))</f>
        <v/>
      </c>
      <c r="M9" s="15" t="str">
        <f aca="false">IF(D9="","",IF(J9&lt;=設定!$B$9,0,設定!$B$10))</f>
        <v/>
      </c>
      <c r="N9" s="15" t="str">
        <f aca="false">IF(D9="","",I9+K9+L9+M9)</f>
        <v/>
      </c>
      <c r="O9" s="15" t="str">
        <f aca="false">IF(G9="","",ROUNDDOWN(G9*設定!$B$11,0))</f>
        <v/>
      </c>
      <c r="P9" s="15" t="str">
        <f aca="false">IF(G9="","",設定!$B$12)</f>
        <v/>
      </c>
      <c r="Q9" s="15" t="str">
        <f aca="false">IF(OR(D9="",G9=""),"",G9-O9-P9-N9)</f>
        <v/>
      </c>
      <c r="R9" s="16" t="str">
        <f aca="false">IF(OR(Q9="",G9=0),"",Q9/G9)</f>
        <v/>
      </c>
      <c r="S9" s="5" t="str">
        <f aca="false">IF(Q9="","",IF(AND(Q9&gt;=設定!$B$13,R9&gt;=設定!$B$14),"仕入れOK","見送り"))</f>
        <v/>
      </c>
    </row>
    <row r="10" customFormat="false" ht="15" hidden="false" customHeight="false" outlineLevel="0" collapsed="false">
      <c r="A10" s="13"/>
      <c r="B10" s="13"/>
      <c r="C10" s="13"/>
      <c r="D10" s="14"/>
      <c r="E10" s="14"/>
      <c r="F10" s="8"/>
      <c r="G10" s="8"/>
      <c r="H10" s="13"/>
      <c r="I10" s="15" t="str">
        <f aca="false">IF(D10="","",(D10+E10)*設定!$B$5*(1+設定!$B$6)+F10)</f>
        <v/>
      </c>
      <c r="J10" s="15" t="str">
        <f aca="false">IF(D10="","",ROUND((D10+E10)*設定!$B$5,0))</f>
        <v/>
      </c>
      <c r="K10" s="15" t="str">
        <f aca="false">IF(D10="","",IF(J10&lt;=設定!$B$9,0,ROUNDDOWN(J10*設定!$B$7,0)))</f>
        <v/>
      </c>
      <c r="L10" s="15" t="str">
        <f aca="false">IF(D10="","",IF(J10&lt;=設定!$B$9,0,ROUNDDOWN((J10+K10)*設定!$B$8,0)))</f>
        <v/>
      </c>
      <c r="M10" s="15" t="str">
        <f aca="false">IF(D10="","",IF(J10&lt;=設定!$B$9,0,設定!$B$10))</f>
        <v/>
      </c>
      <c r="N10" s="15" t="str">
        <f aca="false">IF(D10="","",I10+K10+L10+M10)</f>
        <v/>
      </c>
      <c r="O10" s="15" t="str">
        <f aca="false">IF(G10="","",ROUNDDOWN(G10*設定!$B$11,0))</f>
        <v/>
      </c>
      <c r="P10" s="15" t="str">
        <f aca="false">IF(G10="","",設定!$B$12)</f>
        <v/>
      </c>
      <c r="Q10" s="15" t="str">
        <f aca="false">IF(OR(D10="",G10=""),"",G10-O10-P10-N10)</f>
        <v/>
      </c>
      <c r="R10" s="16" t="str">
        <f aca="false">IF(OR(Q10="",G10=0),"",Q10/G10)</f>
        <v/>
      </c>
      <c r="S10" s="5" t="str">
        <f aca="false">IF(Q10="","",IF(AND(Q10&gt;=設定!$B$13,R10&gt;=設定!$B$14),"仕入れOK","見送り"))</f>
        <v/>
      </c>
    </row>
    <row r="11" customFormat="false" ht="15" hidden="false" customHeight="false" outlineLevel="0" collapsed="false">
      <c r="A11" s="13"/>
      <c r="B11" s="13"/>
      <c r="C11" s="13"/>
      <c r="D11" s="14"/>
      <c r="E11" s="14"/>
      <c r="F11" s="8"/>
      <c r="G11" s="8"/>
      <c r="H11" s="13"/>
      <c r="I11" s="15" t="str">
        <f aca="false">IF(D11="","",(D11+E11)*設定!$B$5*(1+設定!$B$6)+F11)</f>
        <v/>
      </c>
      <c r="J11" s="15" t="str">
        <f aca="false">IF(D11="","",ROUND((D11+E11)*設定!$B$5,0))</f>
        <v/>
      </c>
      <c r="K11" s="15" t="str">
        <f aca="false">IF(D11="","",IF(J11&lt;=設定!$B$9,0,ROUNDDOWN(J11*設定!$B$7,0)))</f>
        <v/>
      </c>
      <c r="L11" s="15" t="str">
        <f aca="false">IF(D11="","",IF(J11&lt;=設定!$B$9,0,ROUNDDOWN((J11+K11)*設定!$B$8,0)))</f>
        <v/>
      </c>
      <c r="M11" s="15" t="str">
        <f aca="false">IF(D11="","",IF(J11&lt;=設定!$B$9,0,設定!$B$10))</f>
        <v/>
      </c>
      <c r="N11" s="15" t="str">
        <f aca="false">IF(D11="","",I11+K11+L11+M11)</f>
        <v/>
      </c>
      <c r="O11" s="15" t="str">
        <f aca="false">IF(G11="","",ROUNDDOWN(G11*設定!$B$11,0))</f>
        <v/>
      </c>
      <c r="P11" s="15" t="str">
        <f aca="false">IF(G11="","",設定!$B$12)</f>
        <v/>
      </c>
      <c r="Q11" s="15" t="str">
        <f aca="false">IF(OR(D11="",G11=""),"",G11-O11-P11-N11)</f>
        <v/>
      </c>
      <c r="R11" s="16" t="str">
        <f aca="false">IF(OR(Q11="",G11=0),"",Q11/G11)</f>
        <v/>
      </c>
      <c r="S11" s="5" t="str">
        <f aca="false">IF(Q11="","",IF(AND(Q11&gt;=設定!$B$13,R11&gt;=設定!$B$14),"仕入れOK","見送り"))</f>
        <v/>
      </c>
    </row>
    <row r="12" customFormat="false" ht="15" hidden="false" customHeight="false" outlineLevel="0" collapsed="false">
      <c r="A12" s="13"/>
      <c r="B12" s="13"/>
      <c r="C12" s="13"/>
      <c r="D12" s="14"/>
      <c r="E12" s="14"/>
      <c r="F12" s="8"/>
      <c r="G12" s="8"/>
      <c r="H12" s="13"/>
      <c r="I12" s="15" t="str">
        <f aca="false">IF(D12="","",(D12+E12)*設定!$B$5*(1+設定!$B$6)+F12)</f>
        <v/>
      </c>
      <c r="J12" s="15" t="str">
        <f aca="false">IF(D12="","",ROUND((D12+E12)*設定!$B$5,0))</f>
        <v/>
      </c>
      <c r="K12" s="15" t="str">
        <f aca="false">IF(D12="","",IF(J12&lt;=設定!$B$9,0,ROUNDDOWN(J12*設定!$B$7,0)))</f>
        <v/>
      </c>
      <c r="L12" s="15" t="str">
        <f aca="false">IF(D12="","",IF(J12&lt;=設定!$B$9,0,ROUNDDOWN((J12+K12)*設定!$B$8,0)))</f>
        <v/>
      </c>
      <c r="M12" s="15" t="str">
        <f aca="false">IF(D12="","",IF(J12&lt;=設定!$B$9,0,設定!$B$10))</f>
        <v/>
      </c>
      <c r="N12" s="15" t="str">
        <f aca="false">IF(D12="","",I12+K12+L12+M12)</f>
        <v/>
      </c>
      <c r="O12" s="15" t="str">
        <f aca="false">IF(G12="","",ROUNDDOWN(G12*設定!$B$11,0))</f>
        <v/>
      </c>
      <c r="P12" s="15" t="str">
        <f aca="false">IF(G12="","",設定!$B$12)</f>
        <v/>
      </c>
      <c r="Q12" s="15" t="str">
        <f aca="false">IF(OR(D12="",G12=""),"",G12-O12-P12-N12)</f>
        <v/>
      </c>
      <c r="R12" s="16" t="str">
        <f aca="false">IF(OR(Q12="",G12=0),"",Q12/G12)</f>
        <v/>
      </c>
      <c r="S12" s="5" t="str">
        <f aca="false">IF(Q12="","",IF(AND(Q12&gt;=設定!$B$13,R12&gt;=設定!$B$14),"仕入れOK","見送り"))</f>
        <v/>
      </c>
    </row>
    <row r="13" customFormat="false" ht="15" hidden="false" customHeight="false" outlineLevel="0" collapsed="false">
      <c r="A13" s="13"/>
      <c r="B13" s="13"/>
      <c r="C13" s="13"/>
      <c r="D13" s="14"/>
      <c r="E13" s="14"/>
      <c r="F13" s="8"/>
      <c r="G13" s="8"/>
      <c r="H13" s="13"/>
      <c r="I13" s="15" t="str">
        <f aca="false">IF(D13="","",(D13+E13)*設定!$B$5*(1+設定!$B$6)+F13)</f>
        <v/>
      </c>
      <c r="J13" s="15" t="str">
        <f aca="false">IF(D13="","",ROUND((D13+E13)*設定!$B$5,0))</f>
        <v/>
      </c>
      <c r="K13" s="15" t="str">
        <f aca="false">IF(D13="","",IF(J13&lt;=設定!$B$9,0,ROUNDDOWN(J13*設定!$B$7,0)))</f>
        <v/>
      </c>
      <c r="L13" s="15" t="str">
        <f aca="false">IF(D13="","",IF(J13&lt;=設定!$B$9,0,ROUNDDOWN((J13+K13)*設定!$B$8,0)))</f>
        <v/>
      </c>
      <c r="M13" s="15" t="str">
        <f aca="false">IF(D13="","",IF(J13&lt;=設定!$B$9,0,設定!$B$10))</f>
        <v/>
      </c>
      <c r="N13" s="15" t="str">
        <f aca="false">IF(D13="","",I13+K13+L13+M13)</f>
        <v/>
      </c>
      <c r="O13" s="15" t="str">
        <f aca="false">IF(G13="","",ROUNDDOWN(G13*設定!$B$11,0))</f>
        <v/>
      </c>
      <c r="P13" s="15" t="str">
        <f aca="false">IF(G13="","",設定!$B$12)</f>
        <v/>
      </c>
      <c r="Q13" s="15" t="str">
        <f aca="false">IF(OR(D13="",G13=""),"",G13-O13-P13-N13)</f>
        <v/>
      </c>
      <c r="R13" s="16" t="str">
        <f aca="false">IF(OR(Q13="",G13=0),"",Q13/G13)</f>
        <v/>
      </c>
      <c r="S13" s="5" t="str">
        <f aca="false">IF(Q13="","",IF(AND(Q13&gt;=設定!$B$13,R13&gt;=設定!$B$14),"仕入れOK","見送り"))</f>
        <v/>
      </c>
    </row>
    <row r="14" customFormat="false" ht="15" hidden="false" customHeight="false" outlineLevel="0" collapsed="false">
      <c r="A14" s="13"/>
      <c r="B14" s="13"/>
      <c r="C14" s="13"/>
      <c r="D14" s="14"/>
      <c r="E14" s="14"/>
      <c r="F14" s="8"/>
      <c r="G14" s="8"/>
      <c r="H14" s="13"/>
      <c r="I14" s="15" t="str">
        <f aca="false">IF(D14="","",(D14+E14)*設定!$B$5*(1+設定!$B$6)+F14)</f>
        <v/>
      </c>
      <c r="J14" s="15" t="str">
        <f aca="false">IF(D14="","",ROUND((D14+E14)*設定!$B$5,0))</f>
        <v/>
      </c>
      <c r="K14" s="15" t="str">
        <f aca="false">IF(D14="","",IF(J14&lt;=設定!$B$9,0,ROUNDDOWN(J14*設定!$B$7,0)))</f>
        <v/>
      </c>
      <c r="L14" s="15" t="str">
        <f aca="false">IF(D14="","",IF(J14&lt;=設定!$B$9,0,ROUNDDOWN((J14+K14)*設定!$B$8,0)))</f>
        <v/>
      </c>
      <c r="M14" s="15" t="str">
        <f aca="false">IF(D14="","",IF(J14&lt;=設定!$B$9,0,設定!$B$10))</f>
        <v/>
      </c>
      <c r="N14" s="15" t="str">
        <f aca="false">IF(D14="","",I14+K14+L14+M14)</f>
        <v/>
      </c>
      <c r="O14" s="15" t="str">
        <f aca="false">IF(G14="","",ROUNDDOWN(G14*設定!$B$11,0))</f>
        <v/>
      </c>
      <c r="P14" s="15" t="str">
        <f aca="false">IF(G14="","",設定!$B$12)</f>
        <v/>
      </c>
      <c r="Q14" s="15" t="str">
        <f aca="false">IF(OR(D14="",G14=""),"",G14-O14-P14-N14)</f>
        <v/>
      </c>
      <c r="R14" s="16" t="str">
        <f aca="false">IF(OR(Q14="",G14=0),"",Q14/G14)</f>
        <v/>
      </c>
      <c r="S14" s="5" t="str">
        <f aca="false">IF(Q14="","",IF(AND(Q14&gt;=設定!$B$13,R14&gt;=設定!$B$14),"仕入れOK","見送り"))</f>
        <v/>
      </c>
    </row>
    <row r="15" customFormat="false" ht="15" hidden="false" customHeight="false" outlineLevel="0" collapsed="false">
      <c r="A15" s="13"/>
      <c r="B15" s="13"/>
      <c r="C15" s="13"/>
      <c r="D15" s="14"/>
      <c r="E15" s="14"/>
      <c r="F15" s="8"/>
      <c r="G15" s="8"/>
      <c r="H15" s="13"/>
      <c r="I15" s="15" t="str">
        <f aca="false">IF(D15="","",(D15+E15)*設定!$B$5*(1+設定!$B$6)+F15)</f>
        <v/>
      </c>
      <c r="J15" s="15" t="str">
        <f aca="false">IF(D15="","",ROUND((D15+E15)*設定!$B$5,0))</f>
        <v/>
      </c>
      <c r="K15" s="15" t="str">
        <f aca="false">IF(D15="","",IF(J15&lt;=設定!$B$9,0,ROUNDDOWN(J15*設定!$B$7,0)))</f>
        <v/>
      </c>
      <c r="L15" s="15" t="str">
        <f aca="false">IF(D15="","",IF(J15&lt;=設定!$B$9,0,ROUNDDOWN((J15+K15)*設定!$B$8,0)))</f>
        <v/>
      </c>
      <c r="M15" s="15" t="str">
        <f aca="false">IF(D15="","",IF(J15&lt;=設定!$B$9,0,設定!$B$10))</f>
        <v/>
      </c>
      <c r="N15" s="15" t="str">
        <f aca="false">IF(D15="","",I15+K15+L15+M15)</f>
        <v/>
      </c>
      <c r="O15" s="15" t="str">
        <f aca="false">IF(G15="","",ROUNDDOWN(G15*設定!$B$11,0))</f>
        <v/>
      </c>
      <c r="P15" s="15" t="str">
        <f aca="false">IF(G15="","",設定!$B$12)</f>
        <v/>
      </c>
      <c r="Q15" s="15" t="str">
        <f aca="false">IF(OR(D15="",G15=""),"",G15-O15-P15-N15)</f>
        <v/>
      </c>
      <c r="R15" s="16" t="str">
        <f aca="false">IF(OR(Q15="",G15=0),"",Q15/G15)</f>
        <v/>
      </c>
      <c r="S15" s="5" t="str">
        <f aca="false">IF(Q15="","",IF(AND(Q15&gt;=設定!$B$13,R15&gt;=設定!$B$14),"仕入れOK","見送り"))</f>
        <v/>
      </c>
    </row>
    <row r="16" customFormat="false" ht="15" hidden="false" customHeight="false" outlineLevel="0" collapsed="false">
      <c r="A16" s="13"/>
      <c r="B16" s="13"/>
      <c r="C16" s="13"/>
      <c r="D16" s="14"/>
      <c r="E16" s="14"/>
      <c r="F16" s="8"/>
      <c r="G16" s="8"/>
      <c r="H16" s="13"/>
      <c r="I16" s="15" t="str">
        <f aca="false">IF(D16="","",(D16+E16)*設定!$B$5*(1+設定!$B$6)+F16)</f>
        <v/>
      </c>
      <c r="J16" s="15" t="str">
        <f aca="false">IF(D16="","",ROUND((D16+E16)*設定!$B$5,0))</f>
        <v/>
      </c>
      <c r="K16" s="15" t="str">
        <f aca="false">IF(D16="","",IF(J16&lt;=設定!$B$9,0,ROUNDDOWN(J16*設定!$B$7,0)))</f>
        <v/>
      </c>
      <c r="L16" s="15" t="str">
        <f aca="false">IF(D16="","",IF(J16&lt;=設定!$B$9,0,ROUNDDOWN((J16+K16)*設定!$B$8,0)))</f>
        <v/>
      </c>
      <c r="M16" s="15" t="str">
        <f aca="false">IF(D16="","",IF(J16&lt;=設定!$B$9,0,設定!$B$10))</f>
        <v/>
      </c>
      <c r="N16" s="15" t="str">
        <f aca="false">IF(D16="","",I16+K16+L16+M16)</f>
        <v/>
      </c>
      <c r="O16" s="15" t="str">
        <f aca="false">IF(G16="","",ROUNDDOWN(G16*設定!$B$11,0))</f>
        <v/>
      </c>
      <c r="P16" s="15" t="str">
        <f aca="false">IF(G16="","",設定!$B$12)</f>
        <v/>
      </c>
      <c r="Q16" s="15" t="str">
        <f aca="false">IF(OR(D16="",G16=""),"",G16-O16-P16-N16)</f>
        <v/>
      </c>
      <c r="R16" s="16" t="str">
        <f aca="false">IF(OR(Q16="",G16=0),"",Q16/G16)</f>
        <v/>
      </c>
      <c r="S16" s="5" t="str">
        <f aca="false">IF(Q16="","",IF(AND(Q16&gt;=設定!$B$13,R16&gt;=設定!$B$14),"仕入れOK","見送り"))</f>
        <v/>
      </c>
    </row>
    <row r="17" customFormat="false" ht="15" hidden="false" customHeight="false" outlineLevel="0" collapsed="false">
      <c r="A17" s="13"/>
      <c r="B17" s="13"/>
      <c r="C17" s="13"/>
      <c r="D17" s="14"/>
      <c r="E17" s="14"/>
      <c r="F17" s="8"/>
      <c r="G17" s="8"/>
      <c r="H17" s="13"/>
      <c r="I17" s="15" t="str">
        <f aca="false">IF(D17="","",(D17+E17)*設定!$B$5*(1+設定!$B$6)+F17)</f>
        <v/>
      </c>
      <c r="J17" s="15" t="str">
        <f aca="false">IF(D17="","",ROUND((D17+E17)*設定!$B$5,0))</f>
        <v/>
      </c>
      <c r="K17" s="15" t="str">
        <f aca="false">IF(D17="","",IF(J17&lt;=設定!$B$9,0,ROUNDDOWN(J17*設定!$B$7,0)))</f>
        <v/>
      </c>
      <c r="L17" s="15" t="str">
        <f aca="false">IF(D17="","",IF(J17&lt;=設定!$B$9,0,ROUNDDOWN((J17+K17)*設定!$B$8,0)))</f>
        <v/>
      </c>
      <c r="M17" s="15" t="str">
        <f aca="false">IF(D17="","",IF(J17&lt;=設定!$B$9,0,設定!$B$10))</f>
        <v/>
      </c>
      <c r="N17" s="15" t="str">
        <f aca="false">IF(D17="","",I17+K17+L17+M17)</f>
        <v/>
      </c>
      <c r="O17" s="15" t="str">
        <f aca="false">IF(G17="","",ROUNDDOWN(G17*設定!$B$11,0))</f>
        <v/>
      </c>
      <c r="P17" s="15" t="str">
        <f aca="false">IF(G17="","",設定!$B$12)</f>
        <v/>
      </c>
      <c r="Q17" s="15" t="str">
        <f aca="false">IF(OR(D17="",G17=""),"",G17-O17-P17-N17)</f>
        <v/>
      </c>
      <c r="R17" s="16" t="str">
        <f aca="false">IF(OR(Q17="",G17=0),"",Q17/G17)</f>
        <v/>
      </c>
      <c r="S17" s="5" t="str">
        <f aca="false">IF(Q17="","",IF(AND(Q17&gt;=設定!$B$13,R17&gt;=設定!$B$14),"仕入れOK","見送り"))</f>
        <v/>
      </c>
    </row>
    <row r="18" customFormat="false" ht="15" hidden="false" customHeight="false" outlineLevel="0" collapsed="false">
      <c r="A18" s="13"/>
      <c r="B18" s="13"/>
      <c r="C18" s="13"/>
      <c r="D18" s="14"/>
      <c r="E18" s="14"/>
      <c r="F18" s="8"/>
      <c r="G18" s="8"/>
      <c r="H18" s="13"/>
      <c r="I18" s="15" t="str">
        <f aca="false">IF(D18="","",(D18+E18)*設定!$B$5*(1+設定!$B$6)+F18)</f>
        <v/>
      </c>
      <c r="J18" s="15" t="str">
        <f aca="false">IF(D18="","",ROUND((D18+E18)*設定!$B$5,0))</f>
        <v/>
      </c>
      <c r="K18" s="15" t="str">
        <f aca="false">IF(D18="","",IF(J18&lt;=設定!$B$9,0,ROUNDDOWN(J18*設定!$B$7,0)))</f>
        <v/>
      </c>
      <c r="L18" s="15" t="str">
        <f aca="false">IF(D18="","",IF(J18&lt;=設定!$B$9,0,ROUNDDOWN((J18+K18)*設定!$B$8,0)))</f>
        <v/>
      </c>
      <c r="M18" s="15" t="str">
        <f aca="false">IF(D18="","",IF(J18&lt;=設定!$B$9,0,設定!$B$10))</f>
        <v/>
      </c>
      <c r="N18" s="15" t="str">
        <f aca="false">IF(D18="","",I18+K18+L18+M18)</f>
        <v/>
      </c>
      <c r="O18" s="15" t="str">
        <f aca="false">IF(G18="","",ROUNDDOWN(G18*設定!$B$11,0))</f>
        <v/>
      </c>
      <c r="P18" s="15" t="str">
        <f aca="false">IF(G18="","",設定!$B$12)</f>
        <v/>
      </c>
      <c r="Q18" s="15" t="str">
        <f aca="false">IF(OR(D18="",G18=""),"",G18-O18-P18-N18)</f>
        <v/>
      </c>
      <c r="R18" s="16" t="str">
        <f aca="false">IF(OR(Q18="",G18=0),"",Q18/G18)</f>
        <v/>
      </c>
      <c r="S18" s="5" t="str">
        <f aca="false">IF(Q18="","",IF(AND(Q18&gt;=設定!$B$13,R18&gt;=設定!$B$14),"仕入れOK","見送り"))</f>
        <v/>
      </c>
    </row>
    <row r="19" customFormat="false" ht="15" hidden="false" customHeight="false" outlineLevel="0" collapsed="false">
      <c r="A19" s="13"/>
      <c r="B19" s="13"/>
      <c r="C19" s="13"/>
      <c r="D19" s="14"/>
      <c r="E19" s="14"/>
      <c r="F19" s="8"/>
      <c r="G19" s="8"/>
      <c r="H19" s="13"/>
      <c r="I19" s="15" t="str">
        <f aca="false">IF(D19="","",(D19+E19)*設定!$B$5*(1+設定!$B$6)+F19)</f>
        <v/>
      </c>
      <c r="J19" s="15" t="str">
        <f aca="false">IF(D19="","",ROUND((D19+E19)*設定!$B$5,0))</f>
        <v/>
      </c>
      <c r="K19" s="15" t="str">
        <f aca="false">IF(D19="","",IF(J19&lt;=設定!$B$9,0,ROUNDDOWN(J19*設定!$B$7,0)))</f>
        <v/>
      </c>
      <c r="L19" s="15" t="str">
        <f aca="false">IF(D19="","",IF(J19&lt;=設定!$B$9,0,ROUNDDOWN((J19+K19)*設定!$B$8,0)))</f>
        <v/>
      </c>
      <c r="M19" s="15" t="str">
        <f aca="false">IF(D19="","",IF(J19&lt;=設定!$B$9,0,設定!$B$10))</f>
        <v/>
      </c>
      <c r="N19" s="15" t="str">
        <f aca="false">IF(D19="","",I19+K19+L19+M19)</f>
        <v/>
      </c>
      <c r="O19" s="15" t="str">
        <f aca="false">IF(G19="","",ROUNDDOWN(G19*設定!$B$11,0))</f>
        <v/>
      </c>
      <c r="P19" s="15" t="str">
        <f aca="false">IF(G19="","",設定!$B$12)</f>
        <v/>
      </c>
      <c r="Q19" s="15" t="str">
        <f aca="false">IF(OR(D19="",G19=""),"",G19-O19-P19-N19)</f>
        <v/>
      </c>
      <c r="R19" s="16" t="str">
        <f aca="false">IF(OR(Q19="",G19=0),"",Q19/G19)</f>
        <v/>
      </c>
      <c r="S19" s="5" t="str">
        <f aca="false">IF(Q19="","",IF(AND(Q19&gt;=設定!$B$13,R19&gt;=設定!$B$14),"仕入れOK","見送り"))</f>
        <v/>
      </c>
    </row>
    <row r="20" customFormat="false" ht="15" hidden="false" customHeight="false" outlineLevel="0" collapsed="false">
      <c r="A20" s="13"/>
      <c r="B20" s="13"/>
      <c r="C20" s="13"/>
      <c r="D20" s="14"/>
      <c r="E20" s="14"/>
      <c r="F20" s="8"/>
      <c r="G20" s="8"/>
      <c r="H20" s="13"/>
      <c r="I20" s="15" t="str">
        <f aca="false">IF(D20="","",(D20+E20)*設定!$B$5*(1+設定!$B$6)+F20)</f>
        <v/>
      </c>
      <c r="J20" s="15" t="str">
        <f aca="false">IF(D20="","",ROUND((D20+E20)*設定!$B$5,0))</f>
        <v/>
      </c>
      <c r="K20" s="15" t="str">
        <f aca="false">IF(D20="","",IF(J20&lt;=設定!$B$9,0,ROUNDDOWN(J20*設定!$B$7,0)))</f>
        <v/>
      </c>
      <c r="L20" s="15" t="str">
        <f aca="false">IF(D20="","",IF(J20&lt;=設定!$B$9,0,ROUNDDOWN((J20+K20)*設定!$B$8,0)))</f>
        <v/>
      </c>
      <c r="M20" s="15" t="str">
        <f aca="false">IF(D20="","",IF(J20&lt;=設定!$B$9,0,設定!$B$10))</f>
        <v/>
      </c>
      <c r="N20" s="15" t="str">
        <f aca="false">IF(D20="","",I20+K20+L20+M20)</f>
        <v/>
      </c>
      <c r="O20" s="15" t="str">
        <f aca="false">IF(G20="","",ROUNDDOWN(G20*設定!$B$11,0))</f>
        <v/>
      </c>
      <c r="P20" s="15" t="str">
        <f aca="false">IF(G20="","",設定!$B$12)</f>
        <v/>
      </c>
      <c r="Q20" s="15" t="str">
        <f aca="false">IF(OR(D20="",G20=""),"",G20-O20-P20-N20)</f>
        <v/>
      </c>
      <c r="R20" s="16" t="str">
        <f aca="false">IF(OR(Q20="",G20=0),"",Q20/G20)</f>
        <v/>
      </c>
      <c r="S20" s="5" t="str">
        <f aca="false">IF(Q20="","",IF(AND(Q20&gt;=設定!$B$13,R20&gt;=設定!$B$14),"仕入れOK","見送り"))</f>
        <v/>
      </c>
    </row>
    <row r="21" customFormat="false" ht="15" hidden="false" customHeight="false" outlineLevel="0" collapsed="false">
      <c r="A21" s="13"/>
      <c r="B21" s="13"/>
      <c r="C21" s="13"/>
      <c r="D21" s="14"/>
      <c r="E21" s="14"/>
      <c r="F21" s="8"/>
      <c r="G21" s="8"/>
      <c r="H21" s="13"/>
      <c r="I21" s="15" t="str">
        <f aca="false">IF(D21="","",(D21+E21)*設定!$B$5*(1+設定!$B$6)+F21)</f>
        <v/>
      </c>
      <c r="J21" s="15" t="str">
        <f aca="false">IF(D21="","",ROUND((D21+E21)*設定!$B$5,0))</f>
        <v/>
      </c>
      <c r="K21" s="15" t="str">
        <f aca="false">IF(D21="","",IF(J21&lt;=設定!$B$9,0,ROUNDDOWN(J21*設定!$B$7,0)))</f>
        <v/>
      </c>
      <c r="L21" s="15" t="str">
        <f aca="false">IF(D21="","",IF(J21&lt;=設定!$B$9,0,ROUNDDOWN((J21+K21)*設定!$B$8,0)))</f>
        <v/>
      </c>
      <c r="M21" s="15" t="str">
        <f aca="false">IF(D21="","",IF(J21&lt;=設定!$B$9,0,設定!$B$10))</f>
        <v/>
      </c>
      <c r="N21" s="15" t="str">
        <f aca="false">IF(D21="","",I21+K21+L21+M21)</f>
        <v/>
      </c>
      <c r="O21" s="15" t="str">
        <f aca="false">IF(G21="","",ROUNDDOWN(G21*設定!$B$11,0))</f>
        <v/>
      </c>
      <c r="P21" s="15" t="str">
        <f aca="false">IF(G21="","",設定!$B$12)</f>
        <v/>
      </c>
      <c r="Q21" s="15" t="str">
        <f aca="false">IF(OR(D21="",G21=""),"",G21-O21-P21-N21)</f>
        <v/>
      </c>
      <c r="R21" s="16" t="str">
        <f aca="false">IF(OR(Q21="",G21=0),"",Q21/G21)</f>
        <v/>
      </c>
      <c r="S21" s="5" t="str">
        <f aca="false">IF(Q21="","",IF(AND(Q21&gt;=設定!$B$13,R21&gt;=設定!$B$14),"仕入れOK","見送り"))</f>
        <v/>
      </c>
    </row>
    <row r="22" customFormat="false" ht="15" hidden="false" customHeight="false" outlineLevel="0" collapsed="false">
      <c r="A22" s="13"/>
      <c r="B22" s="13"/>
      <c r="C22" s="13"/>
      <c r="D22" s="14"/>
      <c r="E22" s="14"/>
      <c r="F22" s="8"/>
      <c r="G22" s="8"/>
      <c r="H22" s="13"/>
      <c r="I22" s="15" t="str">
        <f aca="false">IF(D22="","",(D22+E22)*設定!$B$5*(1+設定!$B$6)+F22)</f>
        <v/>
      </c>
      <c r="J22" s="15" t="str">
        <f aca="false">IF(D22="","",ROUND((D22+E22)*設定!$B$5,0))</f>
        <v/>
      </c>
      <c r="K22" s="15" t="str">
        <f aca="false">IF(D22="","",IF(J22&lt;=設定!$B$9,0,ROUNDDOWN(J22*設定!$B$7,0)))</f>
        <v/>
      </c>
      <c r="L22" s="15" t="str">
        <f aca="false">IF(D22="","",IF(J22&lt;=設定!$B$9,0,ROUNDDOWN((J22+K22)*設定!$B$8,0)))</f>
        <v/>
      </c>
      <c r="M22" s="15" t="str">
        <f aca="false">IF(D22="","",IF(J22&lt;=設定!$B$9,0,設定!$B$10))</f>
        <v/>
      </c>
      <c r="N22" s="15" t="str">
        <f aca="false">IF(D22="","",I22+K22+L22+M22)</f>
        <v/>
      </c>
      <c r="O22" s="15" t="str">
        <f aca="false">IF(G22="","",ROUNDDOWN(G22*設定!$B$11,0))</f>
        <v/>
      </c>
      <c r="P22" s="15" t="str">
        <f aca="false">IF(G22="","",設定!$B$12)</f>
        <v/>
      </c>
      <c r="Q22" s="15" t="str">
        <f aca="false">IF(OR(D22="",G22=""),"",G22-O22-P22-N22)</f>
        <v/>
      </c>
      <c r="R22" s="16" t="str">
        <f aca="false">IF(OR(Q22="",G22=0),"",Q22/G22)</f>
        <v/>
      </c>
      <c r="S22" s="5" t="str">
        <f aca="false">IF(Q22="","",IF(AND(Q22&gt;=設定!$B$13,R22&gt;=設定!$B$14),"仕入れOK","見送り"))</f>
        <v/>
      </c>
    </row>
    <row r="23" customFormat="false" ht="15" hidden="false" customHeight="false" outlineLevel="0" collapsed="false">
      <c r="A23" s="13"/>
      <c r="B23" s="13"/>
      <c r="C23" s="13"/>
      <c r="D23" s="14"/>
      <c r="E23" s="14"/>
      <c r="F23" s="8"/>
      <c r="G23" s="8"/>
      <c r="H23" s="13"/>
      <c r="I23" s="15" t="str">
        <f aca="false">IF(D23="","",(D23+E23)*設定!$B$5*(1+設定!$B$6)+F23)</f>
        <v/>
      </c>
      <c r="J23" s="15" t="str">
        <f aca="false">IF(D23="","",ROUND((D23+E23)*設定!$B$5,0))</f>
        <v/>
      </c>
      <c r="K23" s="15" t="str">
        <f aca="false">IF(D23="","",IF(J23&lt;=設定!$B$9,0,ROUNDDOWN(J23*設定!$B$7,0)))</f>
        <v/>
      </c>
      <c r="L23" s="15" t="str">
        <f aca="false">IF(D23="","",IF(J23&lt;=設定!$B$9,0,ROUNDDOWN((J23+K23)*設定!$B$8,0)))</f>
        <v/>
      </c>
      <c r="M23" s="15" t="str">
        <f aca="false">IF(D23="","",IF(J23&lt;=設定!$B$9,0,設定!$B$10))</f>
        <v/>
      </c>
      <c r="N23" s="15" t="str">
        <f aca="false">IF(D23="","",I23+K23+L23+M23)</f>
        <v/>
      </c>
      <c r="O23" s="15" t="str">
        <f aca="false">IF(G23="","",ROUNDDOWN(G23*設定!$B$11,0))</f>
        <v/>
      </c>
      <c r="P23" s="15" t="str">
        <f aca="false">IF(G23="","",設定!$B$12)</f>
        <v/>
      </c>
      <c r="Q23" s="15" t="str">
        <f aca="false">IF(OR(D23="",G23=""),"",G23-O23-P23-N23)</f>
        <v/>
      </c>
      <c r="R23" s="16" t="str">
        <f aca="false">IF(OR(Q23="",G23=0),"",Q23/G23)</f>
        <v/>
      </c>
      <c r="S23" s="5" t="str">
        <f aca="false">IF(Q23="","",IF(AND(Q23&gt;=設定!$B$13,R23&gt;=設定!$B$14),"仕入れOK","見送り"))</f>
        <v/>
      </c>
    </row>
    <row r="24" customFormat="false" ht="15" hidden="false" customHeight="false" outlineLevel="0" collapsed="false">
      <c r="A24" s="13"/>
      <c r="B24" s="13"/>
      <c r="C24" s="13"/>
      <c r="D24" s="14"/>
      <c r="E24" s="14"/>
      <c r="F24" s="8"/>
      <c r="G24" s="8"/>
      <c r="H24" s="13"/>
      <c r="I24" s="15" t="str">
        <f aca="false">IF(D24="","",(D24+E24)*設定!$B$5*(1+設定!$B$6)+F24)</f>
        <v/>
      </c>
      <c r="J24" s="15" t="str">
        <f aca="false">IF(D24="","",ROUND((D24+E24)*設定!$B$5,0))</f>
        <v/>
      </c>
      <c r="K24" s="15" t="str">
        <f aca="false">IF(D24="","",IF(J24&lt;=設定!$B$9,0,ROUNDDOWN(J24*設定!$B$7,0)))</f>
        <v/>
      </c>
      <c r="L24" s="15" t="str">
        <f aca="false">IF(D24="","",IF(J24&lt;=設定!$B$9,0,ROUNDDOWN((J24+K24)*設定!$B$8,0)))</f>
        <v/>
      </c>
      <c r="M24" s="15" t="str">
        <f aca="false">IF(D24="","",IF(J24&lt;=設定!$B$9,0,設定!$B$10))</f>
        <v/>
      </c>
      <c r="N24" s="15" t="str">
        <f aca="false">IF(D24="","",I24+K24+L24+M24)</f>
        <v/>
      </c>
      <c r="O24" s="15" t="str">
        <f aca="false">IF(G24="","",ROUNDDOWN(G24*設定!$B$11,0))</f>
        <v/>
      </c>
      <c r="P24" s="15" t="str">
        <f aca="false">IF(G24="","",設定!$B$12)</f>
        <v/>
      </c>
      <c r="Q24" s="15" t="str">
        <f aca="false">IF(OR(D24="",G24=""),"",G24-O24-P24-N24)</f>
        <v/>
      </c>
      <c r="R24" s="16" t="str">
        <f aca="false">IF(OR(Q24="",G24=0),"",Q24/G24)</f>
        <v/>
      </c>
      <c r="S24" s="5" t="str">
        <f aca="false">IF(Q24="","",IF(AND(Q24&gt;=設定!$B$13,R24&gt;=設定!$B$14),"仕入れOK","見送り"))</f>
        <v/>
      </c>
    </row>
    <row r="25" customFormat="false" ht="15" hidden="false" customHeight="false" outlineLevel="0" collapsed="false">
      <c r="A25" s="13"/>
      <c r="B25" s="13"/>
      <c r="C25" s="13"/>
      <c r="D25" s="14"/>
      <c r="E25" s="14"/>
      <c r="F25" s="8"/>
      <c r="G25" s="8"/>
      <c r="H25" s="13"/>
      <c r="I25" s="15" t="str">
        <f aca="false">IF(D25="","",(D25+E25)*設定!$B$5*(1+設定!$B$6)+F25)</f>
        <v/>
      </c>
      <c r="J25" s="15" t="str">
        <f aca="false">IF(D25="","",ROUND((D25+E25)*設定!$B$5,0))</f>
        <v/>
      </c>
      <c r="K25" s="15" t="str">
        <f aca="false">IF(D25="","",IF(J25&lt;=設定!$B$9,0,ROUNDDOWN(J25*設定!$B$7,0)))</f>
        <v/>
      </c>
      <c r="L25" s="15" t="str">
        <f aca="false">IF(D25="","",IF(J25&lt;=設定!$B$9,0,ROUNDDOWN((J25+K25)*設定!$B$8,0)))</f>
        <v/>
      </c>
      <c r="M25" s="15" t="str">
        <f aca="false">IF(D25="","",IF(J25&lt;=設定!$B$9,0,設定!$B$10))</f>
        <v/>
      </c>
      <c r="N25" s="15" t="str">
        <f aca="false">IF(D25="","",I25+K25+L25+M25)</f>
        <v/>
      </c>
      <c r="O25" s="15" t="str">
        <f aca="false">IF(G25="","",ROUNDDOWN(G25*設定!$B$11,0))</f>
        <v/>
      </c>
      <c r="P25" s="15" t="str">
        <f aca="false">IF(G25="","",設定!$B$12)</f>
        <v/>
      </c>
      <c r="Q25" s="15" t="str">
        <f aca="false">IF(OR(D25="",G25=""),"",G25-O25-P25-N25)</f>
        <v/>
      </c>
      <c r="R25" s="16" t="str">
        <f aca="false">IF(OR(Q25="",G25=0),"",Q25/G25)</f>
        <v/>
      </c>
      <c r="S25" s="5" t="str">
        <f aca="false">IF(Q25="","",IF(AND(Q25&gt;=設定!$B$13,R25&gt;=設定!$B$14),"仕入れOK","見送り"))</f>
        <v/>
      </c>
    </row>
    <row r="26" customFormat="false" ht="15" hidden="false" customHeight="false" outlineLevel="0" collapsed="false">
      <c r="A26" s="13"/>
      <c r="B26" s="13"/>
      <c r="C26" s="13"/>
      <c r="D26" s="14"/>
      <c r="E26" s="14"/>
      <c r="F26" s="8"/>
      <c r="G26" s="8"/>
      <c r="H26" s="13"/>
      <c r="I26" s="15" t="str">
        <f aca="false">IF(D26="","",(D26+E26)*設定!$B$5*(1+設定!$B$6)+F26)</f>
        <v/>
      </c>
      <c r="J26" s="15" t="str">
        <f aca="false">IF(D26="","",ROUND((D26+E26)*設定!$B$5,0))</f>
        <v/>
      </c>
      <c r="K26" s="15" t="str">
        <f aca="false">IF(D26="","",IF(J26&lt;=設定!$B$9,0,ROUNDDOWN(J26*設定!$B$7,0)))</f>
        <v/>
      </c>
      <c r="L26" s="15" t="str">
        <f aca="false">IF(D26="","",IF(J26&lt;=設定!$B$9,0,ROUNDDOWN((J26+K26)*設定!$B$8,0)))</f>
        <v/>
      </c>
      <c r="M26" s="15" t="str">
        <f aca="false">IF(D26="","",IF(J26&lt;=設定!$B$9,0,設定!$B$10))</f>
        <v/>
      </c>
      <c r="N26" s="15" t="str">
        <f aca="false">IF(D26="","",I26+K26+L26+M26)</f>
        <v/>
      </c>
      <c r="O26" s="15" t="str">
        <f aca="false">IF(G26="","",ROUNDDOWN(G26*設定!$B$11,0))</f>
        <v/>
      </c>
      <c r="P26" s="15" t="str">
        <f aca="false">IF(G26="","",設定!$B$12)</f>
        <v/>
      </c>
      <c r="Q26" s="15" t="str">
        <f aca="false">IF(OR(D26="",G26=""),"",G26-O26-P26-N26)</f>
        <v/>
      </c>
      <c r="R26" s="16" t="str">
        <f aca="false">IF(OR(Q26="",G26=0),"",Q26/G26)</f>
        <v/>
      </c>
      <c r="S26" s="5" t="str">
        <f aca="false">IF(Q26="","",IF(AND(Q26&gt;=設定!$B$13,R26&gt;=設定!$B$14),"仕入れOK","見送り"))</f>
        <v/>
      </c>
    </row>
    <row r="27" customFormat="false" ht="15" hidden="false" customHeight="false" outlineLevel="0" collapsed="false">
      <c r="A27" s="13"/>
      <c r="B27" s="13"/>
      <c r="C27" s="13"/>
      <c r="D27" s="14"/>
      <c r="E27" s="14"/>
      <c r="F27" s="8"/>
      <c r="G27" s="8"/>
      <c r="H27" s="13"/>
      <c r="I27" s="15" t="str">
        <f aca="false">IF(D27="","",(D27+E27)*設定!$B$5*(1+設定!$B$6)+F27)</f>
        <v/>
      </c>
      <c r="J27" s="15" t="str">
        <f aca="false">IF(D27="","",ROUND((D27+E27)*設定!$B$5,0))</f>
        <v/>
      </c>
      <c r="K27" s="15" t="str">
        <f aca="false">IF(D27="","",IF(J27&lt;=設定!$B$9,0,ROUNDDOWN(J27*設定!$B$7,0)))</f>
        <v/>
      </c>
      <c r="L27" s="15" t="str">
        <f aca="false">IF(D27="","",IF(J27&lt;=設定!$B$9,0,ROUNDDOWN((J27+K27)*設定!$B$8,0)))</f>
        <v/>
      </c>
      <c r="M27" s="15" t="str">
        <f aca="false">IF(D27="","",IF(J27&lt;=設定!$B$9,0,設定!$B$10))</f>
        <v/>
      </c>
      <c r="N27" s="15" t="str">
        <f aca="false">IF(D27="","",I27+K27+L27+M27)</f>
        <v/>
      </c>
      <c r="O27" s="15" t="str">
        <f aca="false">IF(G27="","",ROUNDDOWN(G27*設定!$B$11,0))</f>
        <v/>
      </c>
      <c r="P27" s="15" t="str">
        <f aca="false">IF(G27="","",設定!$B$12)</f>
        <v/>
      </c>
      <c r="Q27" s="15" t="str">
        <f aca="false">IF(OR(D27="",G27=""),"",G27-O27-P27-N27)</f>
        <v/>
      </c>
      <c r="R27" s="16" t="str">
        <f aca="false">IF(OR(Q27="",G27=0),"",Q27/G27)</f>
        <v/>
      </c>
      <c r="S27" s="5" t="str">
        <f aca="false">IF(Q27="","",IF(AND(Q27&gt;=設定!$B$13,R27&gt;=設定!$B$14),"仕入れOK","見送り"))</f>
        <v/>
      </c>
    </row>
    <row r="28" customFormat="false" ht="15" hidden="false" customHeight="false" outlineLevel="0" collapsed="false">
      <c r="A28" s="13"/>
      <c r="B28" s="13"/>
      <c r="C28" s="13"/>
      <c r="D28" s="14"/>
      <c r="E28" s="14"/>
      <c r="F28" s="8"/>
      <c r="G28" s="8"/>
      <c r="H28" s="13"/>
      <c r="I28" s="15" t="str">
        <f aca="false">IF(D28="","",(D28+E28)*設定!$B$5*(1+設定!$B$6)+F28)</f>
        <v/>
      </c>
      <c r="J28" s="15" t="str">
        <f aca="false">IF(D28="","",ROUND((D28+E28)*設定!$B$5,0))</f>
        <v/>
      </c>
      <c r="K28" s="15" t="str">
        <f aca="false">IF(D28="","",IF(J28&lt;=設定!$B$9,0,ROUNDDOWN(J28*設定!$B$7,0)))</f>
        <v/>
      </c>
      <c r="L28" s="15" t="str">
        <f aca="false">IF(D28="","",IF(J28&lt;=設定!$B$9,0,ROUNDDOWN((J28+K28)*設定!$B$8,0)))</f>
        <v/>
      </c>
      <c r="M28" s="15" t="str">
        <f aca="false">IF(D28="","",IF(J28&lt;=設定!$B$9,0,設定!$B$10))</f>
        <v/>
      </c>
      <c r="N28" s="15" t="str">
        <f aca="false">IF(D28="","",I28+K28+L28+M28)</f>
        <v/>
      </c>
      <c r="O28" s="15" t="str">
        <f aca="false">IF(G28="","",ROUNDDOWN(G28*設定!$B$11,0))</f>
        <v/>
      </c>
      <c r="P28" s="15" t="str">
        <f aca="false">IF(G28="","",設定!$B$12)</f>
        <v/>
      </c>
      <c r="Q28" s="15" t="str">
        <f aca="false">IF(OR(D28="",G28=""),"",G28-O28-P28-N28)</f>
        <v/>
      </c>
      <c r="R28" s="16" t="str">
        <f aca="false">IF(OR(Q28="",G28=0),"",Q28/G28)</f>
        <v/>
      </c>
      <c r="S28" s="5" t="str">
        <f aca="false">IF(Q28="","",IF(AND(Q28&gt;=設定!$B$13,R28&gt;=設定!$B$14),"仕入れOK","見送り"))</f>
        <v/>
      </c>
    </row>
    <row r="29" customFormat="false" ht="15" hidden="false" customHeight="false" outlineLevel="0" collapsed="false">
      <c r="A29" s="13"/>
      <c r="B29" s="13"/>
      <c r="C29" s="13"/>
      <c r="D29" s="14"/>
      <c r="E29" s="14"/>
      <c r="F29" s="8"/>
      <c r="G29" s="8"/>
      <c r="H29" s="13"/>
      <c r="I29" s="15" t="str">
        <f aca="false">IF(D29="","",(D29+E29)*設定!$B$5*(1+設定!$B$6)+F29)</f>
        <v/>
      </c>
      <c r="J29" s="15" t="str">
        <f aca="false">IF(D29="","",ROUND((D29+E29)*設定!$B$5,0))</f>
        <v/>
      </c>
      <c r="K29" s="15" t="str">
        <f aca="false">IF(D29="","",IF(J29&lt;=設定!$B$9,0,ROUNDDOWN(J29*設定!$B$7,0)))</f>
        <v/>
      </c>
      <c r="L29" s="15" t="str">
        <f aca="false">IF(D29="","",IF(J29&lt;=設定!$B$9,0,ROUNDDOWN((J29+K29)*設定!$B$8,0)))</f>
        <v/>
      </c>
      <c r="M29" s="15" t="str">
        <f aca="false">IF(D29="","",IF(J29&lt;=設定!$B$9,0,設定!$B$10))</f>
        <v/>
      </c>
      <c r="N29" s="15" t="str">
        <f aca="false">IF(D29="","",I29+K29+L29+M29)</f>
        <v/>
      </c>
      <c r="O29" s="15" t="str">
        <f aca="false">IF(G29="","",ROUNDDOWN(G29*設定!$B$11,0))</f>
        <v/>
      </c>
      <c r="P29" s="15" t="str">
        <f aca="false">IF(G29="","",設定!$B$12)</f>
        <v/>
      </c>
      <c r="Q29" s="15" t="str">
        <f aca="false">IF(OR(D29="",G29=""),"",G29-O29-P29-N29)</f>
        <v/>
      </c>
      <c r="R29" s="16" t="str">
        <f aca="false">IF(OR(Q29="",G29=0),"",Q29/G29)</f>
        <v/>
      </c>
      <c r="S29" s="5" t="str">
        <f aca="false">IF(Q29="","",IF(AND(Q29&gt;=設定!$B$13,R29&gt;=設定!$B$14),"仕入れOK","見送り"))</f>
        <v/>
      </c>
    </row>
    <row r="30" customFormat="false" ht="15" hidden="false" customHeight="false" outlineLevel="0" collapsed="false">
      <c r="A30" s="13"/>
      <c r="B30" s="13"/>
      <c r="C30" s="13"/>
      <c r="D30" s="14"/>
      <c r="E30" s="14"/>
      <c r="F30" s="8"/>
      <c r="G30" s="8"/>
      <c r="H30" s="13"/>
      <c r="I30" s="15" t="str">
        <f aca="false">IF(D30="","",(D30+E30)*設定!$B$5*(1+設定!$B$6)+F30)</f>
        <v/>
      </c>
      <c r="J30" s="15" t="str">
        <f aca="false">IF(D30="","",ROUND((D30+E30)*設定!$B$5,0))</f>
        <v/>
      </c>
      <c r="K30" s="15" t="str">
        <f aca="false">IF(D30="","",IF(J30&lt;=設定!$B$9,0,ROUNDDOWN(J30*設定!$B$7,0)))</f>
        <v/>
      </c>
      <c r="L30" s="15" t="str">
        <f aca="false">IF(D30="","",IF(J30&lt;=設定!$B$9,0,ROUNDDOWN((J30+K30)*設定!$B$8,0)))</f>
        <v/>
      </c>
      <c r="M30" s="15" t="str">
        <f aca="false">IF(D30="","",IF(J30&lt;=設定!$B$9,0,設定!$B$10))</f>
        <v/>
      </c>
      <c r="N30" s="15" t="str">
        <f aca="false">IF(D30="","",I30+K30+L30+M30)</f>
        <v/>
      </c>
      <c r="O30" s="15" t="str">
        <f aca="false">IF(G30="","",ROUNDDOWN(G30*設定!$B$11,0))</f>
        <v/>
      </c>
      <c r="P30" s="15" t="str">
        <f aca="false">IF(G30="","",設定!$B$12)</f>
        <v/>
      </c>
      <c r="Q30" s="15" t="str">
        <f aca="false">IF(OR(D30="",G30=""),"",G30-O30-P30-N30)</f>
        <v/>
      </c>
      <c r="R30" s="16" t="str">
        <f aca="false">IF(OR(Q30="",G30=0),"",Q30/G30)</f>
        <v/>
      </c>
      <c r="S30" s="5" t="str">
        <f aca="false">IF(Q30="","",IF(AND(Q30&gt;=設定!$B$13,R30&gt;=設定!$B$14),"仕入れOK","見送り"))</f>
        <v/>
      </c>
    </row>
    <row r="31" customFormat="false" ht="15" hidden="false" customHeight="false" outlineLevel="0" collapsed="false">
      <c r="A31" s="13"/>
      <c r="B31" s="13"/>
      <c r="C31" s="13"/>
      <c r="D31" s="14"/>
      <c r="E31" s="14"/>
      <c r="F31" s="8"/>
      <c r="G31" s="8"/>
      <c r="H31" s="13"/>
      <c r="I31" s="15" t="str">
        <f aca="false">IF(D31="","",(D31+E31)*設定!$B$5*(1+設定!$B$6)+F31)</f>
        <v/>
      </c>
      <c r="J31" s="15" t="str">
        <f aca="false">IF(D31="","",ROUND((D31+E31)*設定!$B$5,0))</f>
        <v/>
      </c>
      <c r="K31" s="15" t="str">
        <f aca="false">IF(D31="","",IF(J31&lt;=設定!$B$9,0,ROUNDDOWN(J31*設定!$B$7,0)))</f>
        <v/>
      </c>
      <c r="L31" s="15" t="str">
        <f aca="false">IF(D31="","",IF(J31&lt;=設定!$B$9,0,ROUNDDOWN((J31+K31)*設定!$B$8,0)))</f>
        <v/>
      </c>
      <c r="M31" s="15" t="str">
        <f aca="false">IF(D31="","",IF(J31&lt;=設定!$B$9,0,設定!$B$10))</f>
        <v/>
      </c>
      <c r="N31" s="15" t="str">
        <f aca="false">IF(D31="","",I31+K31+L31+M31)</f>
        <v/>
      </c>
      <c r="O31" s="15" t="str">
        <f aca="false">IF(G31="","",ROUNDDOWN(G31*設定!$B$11,0))</f>
        <v/>
      </c>
      <c r="P31" s="15" t="str">
        <f aca="false">IF(G31="","",設定!$B$12)</f>
        <v/>
      </c>
      <c r="Q31" s="15" t="str">
        <f aca="false">IF(OR(D31="",G31=""),"",G31-O31-P31-N31)</f>
        <v/>
      </c>
      <c r="R31" s="16" t="str">
        <f aca="false">IF(OR(Q31="",G31=0),"",Q31/G31)</f>
        <v/>
      </c>
      <c r="S31" s="5" t="str">
        <f aca="false">IF(Q31="","",IF(AND(Q31&gt;=設定!$B$13,R31&gt;=設定!$B$14),"仕入れOK","見送り"))</f>
        <v/>
      </c>
    </row>
    <row r="32" customFormat="false" ht="15" hidden="false" customHeight="false" outlineLevel="0" collapsed="false">
      <c r="A32" s="2"/>
      <c r="B32" s="2"/>
      <c r="C32" s="2"/>
      <c r="D32" s="2"/>
      <c r="E32" s="2"/>
      <c r="F32" s="2"/>
      <c r="G32" s="2"/>
      <c r="H32" s="2"/>
      <c r="I32" s="2"/>
      <c r="J32" s="2"/>
      <c r="K32" s="2"/>
      <c r="L32" s="2"/>
      <c r="M32" s="2"/>
      <c r="N32" s="2"/>
      <c r="O32" s="2"/>
      <c r="P32" s="2"/>
      <c r="Q32" s="2"/>
      <c r="R32" s="2"/>
      <c r="S32" s="2"/>
    </row>
    <row r="33" customFormat="false" ht="15" hidden="false" customHeight="false" outlineLevel="0" collapsed="false">
      <c r="A33" s="10" t="s">
        <v>51</v>
      </c>
      <c r="B33" s="2"/>
      <c r="C33" s="2"/>
      <c r="D33" s="2"/>
      <c r="E33" s="2"/>
      <c r="F33" s="2"/>
      <c r="G33" s="2"/>
      <c r="H33" s="2"/>
      <c r="I33" s="2"/>
      <c r="J33" s="2"/>
      <c r="K33" s="2"/>
      <c r="L33" s="2"/>
      <c r="M33" s="2"/>
      <c r="N33" s="2"/>
      <c r="O33" s="2"/>
      <c r="P33" s="2"/>
      <c r="Q33" s="2"/>
      <c r="R33" s="2"/>
      <c r="S33" s="2"/>
    </row>
  </sheetData>
  <conditionalFormatting sqref="S2:S31">
    <cfRule type="expression" priority="2" aboveAverage="0" equalAverage="0" bottom="0" percent="0" rank="0" text="" dxfId="0">
      <formula>S2="仕入れOK"</formula>
    </cfRule>
    <cfRule type="expression" priority="3" aboveAverage="0" equalAverage="0" bottom="0" percent="0" rank="0" text="" dxfId="1">
      <formula>S2="見送り"</formula>
    </cfRule>
  </conditionalFormatting>
  <dataValidations count="1">
    <dataValidation allowBlank="true" errorStyle="stop" operator="between" showDropDown="false" showErrorMessage="false" showInputMessage="false" sqref="C2:C31" type="list">
      <formula1>"eBay,PWCC/Fanatics,Goldin,TCGplayer,その他"</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2" min="2" style="0" width="16"/>
    <col collapsed="false" customWidth="true" hidden="false" outlineLevel="0" max="3" min="3" style="0" width="60"/>
    <col collapsed="false" customWidth="true" hidden="false" outlineLevel="0" max="4" min="4" style="0" width="70"/>
  </cols>
  <sheetData>
    <row r="1" customFormat="false" ht="19.4" hidden="false" customHeight="false" outlineLevel="0" collapsed="false">
      <c r="A1" s="1" t="s">
        <v>52</v>
      </c>
      <c r="B1" s="2"/>
      <c r="C1" s="2"/>
      <c r="D1" s="2"/>
    </row>
    <row r="2" customFormat="false" ht="15" hidden="false" customHeight="false" outlineLevel="0" collapsed="false">
      <c r="A2" s="3" t="s">
        <v>53</v>
      </c>
      <c r="B2" s="2"/>
      <c r="C2" s="2"/>
      <c r="D2" s="2"/>
    </row>
    <row r="3" customFormat="false" ht="15" hidden="false" customHeight="false" outlineLevel="0" collapsed="false">
      <c r="A3" s="4" t="s">
        <v>2</v>
      </c>
      <c r="B3" s="4" t="s">
        <v>3</v>
      </c>
      <c r="C3" s="4" t="s">
        <v>54</v>
      </c>
      <c r="D3" s="2"/>
    </row>
    <row r="4" customFormat="false" ht="15" hidden="false" customHeight="false" outlineLevel="0" collapsed="false">
      <c r="A4" s="5" t="s">
        <v>25</v>
      </c>
      <c r="B4" s="17" t="n">
        <f aca="false">設定!$B$15</f>
        <v>100000</v>
      </c>
      <c r="C4" s="5" t="s">
        <v>55</v>
      </c>
      <c r="D4" s="2"/>
    </row>
    <row r="5" customFormat="false" ht="15" hidden="false" customHeight="false" outlineLevel="0" collapsed="false">
      <c r="A5" s="9" t="s">
        <v>56</v>
      </c>
      <c r="B5" s="8" t="n">
        <v>6000</v>
      </c>
      <c r="C5" s="5" t="s">
        <v>57</v>
      </c>
      <c r="D5" s="2"/>
    </row>
    <row r="6" customFormat="false" ht="15" hidden="false" customHeight="false" outlineLevel="0" collapsed="false">
      <c r="A6" s="9" t="s">
        <v>58</v>
      </c>
      <c r="B6" s="8" t="n">
        <v>30000</v>
      </c>
      <c r="C6" s="5" t="s">
        <v>59</v>
      </c>
      <c r="D6" s="2"/>
    </row>
    <row r="7" customFormat="false" ht="15" hidden="false" customHeight="false" outlineLevel="0" collapsed="false">
      <c r="A7" s="5" t="s">
        <v>60</v>
      </c>
      <c r="B7" s="18" t="n">
        <v>30</v>
      </c>
      <c r="C7" s="5" t="s">
        <v>61</v>
      </c>
      <c r="D7" s="2"/>
    </row>
    <row r="8" customFormat="false" ht="15" hidden="false" customHeight="false" outlineLevel="0" collapsed="false">
      <c r="A8" s="5" t="s">
        <v>62</v>
      </c>
      <c r="B8" s="7" t="n">
        <v>0.2</v>
      </c>
      <c r="C8" s="5" t="s">
        <v>63</v>
      </c>
      <c r="D8" s="2"/>
    </row>
    <row r="9" customFormat="false" ht="15" hidden="false" customHeight="false" outlineLevel="0" collapsed="false">
      <c r="A9" s="19" t="s">
        <v>64</v>
      </c>
      <c r="B9" s="20" t="n">
        <f aca="false">ROUNDUP(B4/B5,0)</f>
        <v>17</v>
      </c>
      <c r="C9" s="5" t="s">
        <v>65</v>
      </c>
      <c r="D9" s="2"/>
    </row>
    <row r="10" customFormat="false" ht="15" hidden="false" customHeight="false" outlineLevel="0" collapsed="false">
      <c r="A10" s="9" t="s">
        <v>66</v>
      </c>
      <c r="B10" s="21" t="n">
        <f aca="false">B9/30</f>
        <v>0.566666666666667</v>
      </c>
      <c r="C10" s="5"/>
      <c r="D10" s="2"/>
    </row>
    <row r="11" customFormat="false" ht="15" hidden="false" customHeight="false" outlineLevel="0" collapsed="false">
      <c r="A11" s="5" t="s">
        <v>67</v>
      </c>
      <c r="B11" s="15" t="n">
        <f aca="false">B9*B6</f>
        <v>510000</v>
      </c>
      <c r="C11" s="5" t="s">
        <v>68</v>
      </c>
      <c r="D11" s="2"/>
    </row>
    <row r="12" customFormat="false" ht="15" hidden="false" customHeight="false" outlineLevel="0" collapsed="false">
      <c r="A12" s="19" t="s">
        <v>69</v>
      </c>
      <c r="B12" s="22" t="n">
        <f aca="false">ROUNDUP(B11*MAX(B7,1)/30*(1+B8),-4)</f>
        <v>620000</v>
      </c>
      <c r="C12" s="5" t="s">
        <v>70</v>
      </c>
      <c r="D12" s="2"/>
    </row>
    <row r="13" customFormat="false" ht="15" hidden="false" customHeight="false" outlineLevel="0" collapsed="false">
      <c r="A13" s="5" t="s">
        <v>71</v>
      </c>
      <c r="B13" s="15" t="n">
        <f aca="false">B9*(B6+B5)</f>
        <v>612000</v>
      </c>
      <c r="C13" s="5" t="s">
        <v>72</v>
      </c>
      <c r="D13" s="2"/>
    </row>
    <row r="14" customFormat="false" ht="15" hidden="false" customHeight="false" outlineLevel="0" collapsed="false">
      <c r="A14" s="2"/>
      <c r="B14" s="2"/>
      <c r="C14" s="2"/>
      <c r="D14" s="2"/>
    </row>
    <row r="15" customFormat="false" ht="15" hidden="false" customHeight="false" outlineLevel="0" collapsed="false">
      <c r="A15" s="2"/>
      <c r="B15" s="2"/>
      <c r="C15" s="2"/>
      <c r="D15" s="2"/>
    </row>
    <row r="16" customFormat="false" ht="15" hidden="false" customHeight="false" outlineLevel="0" collapsed="false">
      <c r="A16" s="23" t="s">
        <v>73</v>
      </c>
      <c r="B16" s="2"/>
      <c r="C16" s="2"/>
      <c r="D16" s="2"/>
    </row>
    <row r="17" customFormat="false" ht="15" hidden="false" customHeight="false" outlineLevel="0" collapsed="false">
      <c r="A17" s="4" t="s">
        <v>74</v>
      </c>
      <c r="B17" s="4" t="s">
        <v>75</v>
      </c>
      <c r="C17" s="4" t="s">
        <v>76</v>
      </c>
      <c r="D17" s="4" t="s">
        <v>77</v>
      </c>
    </row>
    <row r="18" customFormat="false" ht="15" hidden="false" customHeight="false" outlineLevel="0" collapsed="false">
      <c r="A18" s="9" t="s">
        <v>78</v>
      </c>
      <c r="B18" s="8" t="n">
        <v>10000</v>
      </c>
      <c r="C18" s="24" t="n">
        <f aca="false">IFERROR(ROUNDUP(B18/$B$5,0),"")</f>
        <v>2</v>
      </c>
      <c r="D18" s="5" t="s">
        <v>79</v>
      </c>
    </row>
    <row r="19" customFormat="false" ht="15" hidden="false" customHeight="false" outlineLevel="0" collapsed="false">
      <c r="A19" s="9" t="s">
        <v>80</v>
      </c>
      <c r="B19" s="8" t="n">
        <v>30000</v>
      </c>
      <c r="C19" s="24" t="n">
        <f aca="false">IFERROR(ROUNDUP(B19/$B$5,0),"")</f>
        <v>5</v>
      </c>
      <c r="D19" s="5" t="s">
        <v>81</v>
      </c>
    </row>
    <row r="20" customFormat="false" ht="15" hidden="false" customHeight="false" outlineLevel="0" collapsed="false">
      <c r="A20" s="9" t="s">
        <v>82</v>
      </c>
      <c r="B20" s="8" t="n">
        <v>60000</v>
      </c>
      <c r="C20" s="24" t="n">
        <f aca="false">IFERROR(ROUNDUP(B20/$B$5,0),"")</f>
        <v>10</v>
      </c>
      <c r="D20" s="5" t="s">
        <v>83</v>
      </c>
    </row>
    <row r="21" customFormat="false" ht="15" hidden="false" customHeight="false" outlineLevel="0" collapsed="false">
      <c r="A21" s="9" t="s">
        <v>84</v>
      </c>
      <c r="B21" s="8" t="n">
        <v>100000</v>
      </c>
      <c r="C21" s="24" t="n">
        <f aca="false">IFERROR(ROUNDUP(B21/$B$5,0),"")</f>
        <v>17</v>
      </c>
      <c r="D21" s="5"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2" min="1" style="0" width="11"/>
    <col collapsed="false" customWidth="true" hidden="false" outlineLevel="0" max="3" min="3" style="0" width="20"/>
    <col collapsed="false" customWidth="true" hidden="false" outlineLevel="0" max="4" min="4" style="0" width="12"/>
    <col collapsed="false" customWidth="true" hidden="false" outlineLevel="0" max="7" min="5" style="0" width="10"/>
    <col collapsed="false" customWidth="true" hidden="false" outlineLevel="0" max="8" min="8" style="0" width="14"/>
    <col collapsed="false" customWidth="true" hidden="false" outlineLevel="0" max="10" min="9" style="0" width="13"/>
    <col collapsed="false" customWidth="true" hidden="false" outlineLevel="0" max="11" min="11" style="0" width="11"/>
    <col collapsed="false" customWidth="true" hidden="false" outlineLevel="0" max="12" min="12" style="0" width="12"/>
    <col collapsed="false" customWidth="true" hidden="false" outlineLevel="0" max="14" min="13" style="0" width="9"/>
    <col collapsed="false" customWidth="true" hidden="false" outlineLevel="0" max="15" min="15" style="0" width="44"/>
    <col collapsed="false" customWidth="true" hidden="false" outlineLevel="0" max="18" min="17" style="0" width="14"/>
  </cols>
  <sheetData>
    <row r="1" customFormat="false" ht="15" hidden="false" customHeight="false" outlineLevel="0" collapsed="false">
      <c r="A1" s="25" t="s">
        <v>86</v>
      </c>
      <c r="B1" s="25" t="s">
        <v>87</v>
      </c>
      <c r="C1" s="25" t="s">
        <v>28</v>
      </c>
      <c r="D1" s="25" t="s">
        <v>88</v>
      </c>
      <c r="E1" s="25" t="s">
        <v>89</v>
      </c>
      <c r="F1" s="25" t="s">
        <v>30</v>
      </c>
      <c r="G1" s="25" t="s">
        <v>90</v>
      </c>
      <c r="H1" s="25" t="s">
        <v>41</v>
      </c>
      <c r="I1" s="25" t="s">
        <v>91</v>
      </c>
      <c r="J1" s="25" t="s">
        <v>42</v>
      </c>
      <c r="K1" s="25" t="s">
        <v>43</v>
      </c>
      <c r="L1" s="25" t="s">
        <v>44</v>
      </c>
      <c r="M1" s="25" t="s">
        <v>45</v>
      </c>
      <c r="N1" s="25" t="s">
        <v>92</v>
      </c>
      <c r="O1" s="25" t="s">
        <v>93</v>
      </c>
      <c r="P1" s="2"/>
      <c r="Q1" s="23" t="s">
        <v>94</v>
      </c>
      <c r="R1" s="26" t="n">
        <f aca="false">SUM(L2:L101)</f>
        <v>6676</v>
      </c>
    </row>
    <row r="2" customFormat="false" ht="15" hidden="false" customHeight="false" outlineLevel="0" collapsed="false">
      <c r="A2" s="27" t="n">
        <v>46266</v>
      </c>
      <c r="B2" s="27" t="n">
        <v>46285</v>
      </c>
      <c r="C2" s="28" t="s">
        <v>47</v>
      </c>
      <c r="D2" s="29" t="s">
        <v>48</v>
      </c>
      <c r="E2" s="28" t="s">
        <v>95</v>
      </c>
      <c r="F2" s="29" t="s">
        <v>49</v>
      </c>
      <c r="G2" s="28" t="s">
        <v>96</v>
      </c>
      <c r="H2" s="30" t="n">
        <v>36294</v>
      </c>
      <c r="I2" s="30" t="n">
        <v>48000</v>
      </c>
      <c r="J2" s="15" t="n">
        <f aca="false">IF(I2="","",ROUNDDOWN(I2*設定!$B$11,0))</f>
        <v>4800</v>
      </c>
      <c r="K2" s="15" t="n">
        <f aca="false">IF(I2="","",設定!$B$12)</f>
        <v>230</v>
      </c>
      <c r="L2" s="15" t="n">
        <f aca="false">IF(OR(H2="",I2=""),"",I2-H2-J2-K2)</f>
        <v>6676</v>
      </c>
      <c r="M2" s="16" t="n">
        <f aca="false">IF(OR(L2="",I2=0),"",L2/I2)</f>
        <v>0.139083333333333</v>
      </c>
      <c r="N2" s="5" t="n">
        <f aca="false">IF(OR(A2="",B2=""),"",B2-A2)</f>
        <v>19</v>
      </c>
      <c r="O2" s="28" t="s">
        <v>97</v>
      </c>
      <c r="P2" s="2"/>
      <c r="Q2" s="23" t="s">
        <v>98</v>
      </c>
      <c r="R2" s="31" t="n">
        <f aca="false">COUNT(L2:L101)</f>
        <v>1</v>
      </c>
    </row>
    <row r="3" customFormat="false" ht="15" hidden="false" customHeight="false" outlineLevel="0" collapsed="false">
      <c r="A3" s="27"/>
      <c r="B3" s="27"/>
      <c r="C3" s="29"/>
      <c r="D3" s="29"/>
      <c r="E3" s="29"/>
      <c r="F3" s="29"/>
      <c r="G3" s="29"/>
      <c r="H3" s="30"/>
      <c r="I3" s="30"/>
      <c r="J3" s="15" t="str">
        <f aca="false">IF(I3="","",ROUNDDOWN(I3*設定!$B$11,0))</f>
        <v/>
      </c>
      <c r="K3" s="15" t="str">
        <f aca="false">IF(I3="","",設定!$B$12)</f>
        <v/>
      </c>
      <c r="L3" s="15" t="str">
        <f aca="false">IF(OR(H3="",I3=""),"",I3-H3-J3-K3)</f>
        <v/>
      </c>
      <c r="M3" s="16" t="str">
        <f aca="false">IF(OR(L3="",I3=0),"",L3/I3)</f>
        <v/>
      </c>
      <c r="N3" s="5" t="str">
        <f aca="false">IF(OR(A3="",B3=""),"",B3-A3)</f>
        <v/>
      </c>
      <c r="O3" s="29"/>
      <c r="P3" s="2"/>
      <c r="Q3" s="23" t="s">
        <v>99</v>
      </c>
      <c r="R3" s="26" t="n">
        <f aca="false">IFERROR(AVERAGE(L2:L101),0)</f>
        <v>6676</v>
      </c>
    </row>
    <row r="4" customFormat="false" ht="15" hidden="false" customHeight="false" outlineLevel="0" collapsed="false">
      <c r="A4" s="27"/>
      <c r="B4" s="27"/>
      <c r="C4" s="29"/>
      <c r="D4" s="29"/>
      <c r="E4" s="29"/>
      <c r="F4" s="29"/>
      <c r="G4" s="29"/>
      <c r="H4" s="30"/>
      <c r="I4" s="30"/>
      <c r="J4" s="15" t="str">
        <f aca="false">IF(I4="","",ROUNDDOWN(I4*設定!$B$11,0))</f>
        <v/>
      </c>
      <c r="K4" s="15" t="str">
        <f aca="false">IF(I4="","",設定!$B$12)</f>
        <v/>
      </c>
      <c r="L4" s="15" t="str">
        <f aca="false">IF(OR(H4="",I4=""),"",I4-H4-J4-K4)</f>
        <v/>
      </c>
      <c r="M4" s="16" t="str">
        <f aca="false">IF(OR(L4="",I4=0),"",L4/I4)</f>
        <v/>
      </c>
      <c r="N4" s="5" t="str">
        <f aca="false">IF(OR(A4="",B4=""),"",B4-A4)</f>
        <v/>
      </c>
      <c r="O4" s="29"/>
      <c r="P4" s="2"/>
      <c r="Q4" s="23" t="s">
        <v>100</v>
      </c>
      <c r="R4" s="31" t="n">
        <f aca="false">IFERROR(AVERAGE(N2:N101),0)</f>
        <v>19</v>
      </c>
    </row>
    <row r="5" customFormat="false" ht="15" hidden="false" customHeight="false" outlineLevel="0" collapsed="false">
      <c r="A5" s="27"/>
      <c r="B5" s="27"/>
      <c r="C5" s="29"/>
      <c r="D5" s="29"/>
      <c r="E5" s="29"/>
      <c r="F5" s="29"/>
      <c r="G5" s="29"/>
      <c r="H5" s="30"/>
      <c r="I5" s="30"/>
      <c r="J5" s="15" t="str">
        <f aca="false">IF(I5="","",ROUNDDOWN(I5*設定!$B$11,0))</f>
        <v/>
      </c>
      <c r="K5" s="15" t="str">
        <f aca="false">IF(I5="","",設定!$B$12)</f>
        <v/>
      </c>
      <c r="L5" s="15" t="str">
        <f aca="false">IF(OR(H5="",I5=""),"",I5-H5-J5-K5)</f>
        <v/>
      </c>
      <c r="M5" s="16" t="str">
        <f aca="false">IF(OR(L5="",I5=0),"",L5/I5)</f>
        <v/>
      </c>
      <c r="N5" s="5" t="str">
        <f aca="false">IF(OR(A5="",B5=""),"",B5-A5)</f>
        <v/>
      </c>
      <c r="O5" s="29"/>
      <c r="P5" s="2"/>
      <c r="Q5" s="2"/>
      <c r="R5" s="2"/>
    </row>
    <row r="6" customFormat="false" ht="15" hidden="false" customHeight="false" outlineLevel="0" collapsed="false">
      <c r="A6" s="27"/>
      <c r="B6" s="27"/>
      <c r="C6" s="29"/>
      <c r="D6" s="29"/>
      <c r="E6" s="29"/>
      <c r="F6" s="29"/>
      <c r="G6" s="29"/>
      <c r="H6" s="30"/>
      <c r="I6" s="30"/>
      <c r="J6" s="15" t="str">
        <f aca="false">IF(I6="","",ROUNDDOWN(I6*設定!$B$11,0))</f>
        <v/>
      </c>
      <c r="K6" s="15" t="str">
        <f aca="false">IF(I6="","",設定!$B$12)</f>
        <v/>
      </c>
      <c r="L6" s="15" t="str">
        <f aca="false">IF(OR(H6="",I6=""),"",I6-H6-J6-K6)</f>
        <v/>
      </c>
      <c r="M6" s="16" t="str">
        <f aca="false">IF(OR(L6="",I6=0),"",L6/I6)</f>
        <v/>
      </c>
      <c r="N6" s="5" t="str">
        <f aca="false">IF(OR(A6="",B6=""),"",B6-A6)</f>
        <v/>
      </c>
      <c r="O6" s="29"/>
      <c r="P6" s="2"/>
      <c r="Q6" s="2"/>
      <c r="R6" s="2"/>
    </row>
    <row r="7" customFormat="false" ht="15" hidden="false" customHeight="false" outlineLevel="0" collapsed="false">
      <c r="A7" s="27"/>
      <c r="B7" s="27"/>
      <c r="C7" s="29"/>
      <c r="D7" s="29"/>
      <c r="E7" s="29"/>
      <c r="F7" s="29"/>
      <c r="G7" s="29"/>
      <c r="H7" s="30"/>
      <c r="I7" s="30"/>
      <c r="J7" s="15" t="str">
        <f aca="false">IF(I7="","",ROUNDDOWN(I7*設定!$B$11,0))</f>
        <v/>
      </c>
      <c r="K7" s="15" t="str">
        <f aca="false">IF(I7="","",設定!$B$12)</f>
        <v/>
      </c>
      <c r="L7" s="15" t="str">
        <f aca="false">IF(OR(H7="",I7=""),"",I7-H7-J7-K7)</f>
        <v/>
      </c>
      <c r="M7" s="16" t="str">
        <f aca="false">IF(OR(L7="",I7=0),"",L7/I7)</f>
        <v/>
      </c>
      <c r="N7" s="5" t="str">
        <f aca="false">IF(OR(A7="",B7=""),"",B7-A7)</f>
        <v/>
      </c>
      <c r="O7" s="29"/>
      <c r="P7" s="2"/>
      <c r="Q7" s="2"/>
      <c r="R7" s="2"/>
    </row>
    <row r="8" customFormat="false" ht="15" hidden="false" customHeight="false" outlineLevel="0" collapsed="false">
      <c r="A8" s="27"/>
      <c r="B8" s="27"/>
      <c r="C8" s="29"/>
      <c r="D8" s="29"/>
      <c r="E8" s="29"/>
      <c r="F8" s="29"/>
      <c r="G8" s="29"/>
      <c r="H8" s="30"/>
      <c r="I8" s="30"/>
      <c r="J8" s="15" t="str">
        <f aca="false">IF(I8="","",ROUNDDOWN(I8*設定!$B$11,0))</f>
        <v/>
      </c>
      <c r="K8" s="15" t="str">
        <f aca="false">IF(I8="","",設定!$B$12)</f>
        <v/>
      </c>
      <c r="L8" s="15" t="str">
        <f aca="false">IF(OR(H8="",I8=""),"",I8-H8-J8-K8)</f>
        <v/>
      </c>
      <c r="M8" s="16" t="str">
        <f aca="false">IF(OR(L8="",I8=0),"",L8/I8)</f>
        <v/>
      </c>
      <c r="N8" s="5" t="str">
        <f aca="false">IF(OR(A8="",B8=""),"",B8-A8)</f>
        <v/>
      </c>
      <c r="O8" s="29"/>
      <c r="P8" s="2"/>
      <c r="Q8" s="2"/>
      <c r="R8" s="2"/>
    </row>
    <row r="9" customFormat="false" ht="15" hidden="false" customHeight="false" outlineLevel="0" collapsed="false">
      <c r="A9" s="27"/>
      <c r="B9" s="27"/>
      <c r="C9" s="29"/>
      <c r="D9" s="29"/>
      <c r="E9" s="29"/>
      <c r="F9" s="29"/>
      <c r="G9" s="29"/>
      <c r="H9" s="30"/>
      <c r="I9" s="30"/>
      <c r="J9" s="15" t="str">
        <f aca="false">IF(I9="","",ROUNDDOWN(I9*設定!$B$11,0))</f>
        <v/>
      </c>
      <c r="K9" s="15" t="str">
        <f aca="false">IF(I9="","",設定!$B$12)</f>
        <v/>
      </c>
      <c r="L9" s="15" t="str">
        <f aca="false">IF(OR(H9="",I9=""),"",I9-H9-J9-K9)</f>
        <v/>
      </c>
      <c r="M9" s="16" t="str">
        <f aca="false">IF(OR(L9="",I9=0),"",L9/I9)</f>
        <v/>
      </c>
      <c r="N9" s="5" t="str">
        <f aca="false">IF(OR(A9="",B9=""),"",B9-A9)</f>
        <v/>
      </c>
      <c r="O9" s="29"/>
      <c r="P9" s="2"/>
      <c r="Q9" s="2"/>
      <c r="R9" s="2"/>
    </row>
    <row r="10" customFormat="false" ht="15" hidden="false" customHeight="false" outlineLevel="0" collapsed="false">
      <c r="A10" s="27"/>
      <c r="B10" s="27"/>
      <c r="C10" s="29"/>
      <c r="D10" s="29"/>
      <c r="E10" s="29"/>
      <c r="F10" s="29"/>
      <c r="G10" s="29"/>
      <c r="H10" s="30"/>
      <c r="I10" s="30"/>
      <c r="J10" s="15" t="str">
        <f aca="false">IF(I10="","",ROUNDDOWN(I10*設定!$B$11,0))</f>
        <v/>
      </c>
      <c r="K10" s="15" t="str">
        <f aca="false">IF(I10="","",設定!$B$12)</f>
        <v/>
      </c>
      <c r="L10" s="15" t="str">
        <f aca="false">IF(OR(H10="",I10=""),"",I10-H10-J10-K10)</f>
        <v/>
      </c>
      <c r="M10" s="16" t="str">
        <f aca="false">IF(OR(L10="",I10=0),"",L10/I10)</f>
        <v/>
      </c>
      <c r="N10" s="5" t="str">
        <f aca="false">IF(OR(A10="",B10=""),"",B10-A10)</f>
        <v/>
      </c>
      <c r="O10" s="29"/>
      <c r="P10" s="2"/>
      <c r="Q10" s="2"/>
      <c r="R10" s="2"/>
    </row>
    <row r="11" customFormat="false" ht="15" hidden="false" customHeight="false" outlineLevel="0" collapsed="false">
      <c r="A11" s="27"/>
      <c r="B11" s="27"/>
      <c r="C11" s="29"/>
      <c r="D11" s="29"/>
      <c r="E11" s="29"/>
      <c r="F11" s="29"/>
      <c r="G11" s="29"/>
      <c r="H11" s="30"/>
      <c r="I11" s="30"/>
      <c r="J11" s="15" t="str">
        <f aca="false">IF(I11="","",ROUNDDOWN(I11*設定!$B$11,0))</f>
        <v/>
      </c>
      <c r="K11" s="15" t="str">
        <f aca="false">IF(I11="","",設定!$B$12)</f>
        <v/>
      </c>
      <c r="L11" s="15" t="str">
        <f aca="false">IF(OR(H11="",I11=""),"",I11-H11-J11-K11)</f>
        <v/>
      </c>
      <c r="M11" s="16" t="str">
        <f aca="false">IF(OR(L11="",I11=0),"",L11/I11)</f>
        <v/>
      </c>
      <c r="N11" s="5" t="str">
        <f aca="false">IF(OR(A11="",B11=""),"",B11-A11)</f>
        <v/>
      </c>
      <c r="O11" s="29"/>
      <c r="P11" s="2"/>
      <c r="Q11" s="2"/>
      <c r="R11" s="2"/>
    </row>
    <row r="12" customFormat="false" ht="15" hidden="false" customHeight="false" outlineLevel="0" collapsed="false">
      <c r="A12" s="27"/>
      <c r="B12" s="27"/>
      <c r="C12" s="29"/>
      <c r="D12" s="29"/>
      <c r="E12" s="29"/>
      <c r="F12" s="29"/>
      <c r="G12" s="29"/>
      <c r="H12" s="30"/>
      <c r="I12" s="30"/>
      <c r="J12" s="15" t="str">
        <f aca="false">IF(I12="","",ROUNDDOWN(I12*設定!$B$11,0))</f>
        <v/>
      </c>
      <c r="K12" s="15" t="str">
        <f aca="false">IF(I12="","",設定!$B$12)</f>
        <v/>
      </c>
      <c r="L12" s="15" t="str">
        <f aca="false">IF(OR(H12="",I12=""),"",I12-H12-J12-K12)</f>
        <v/>
      </c>
      <c r="M12" s="16" t="str">
        <f aca="false">IF(OR(L12="",I12=0),"",L12/I12)</f>
        <v/>
      </c>
      <c r="N12" s="5" t="str">
        <f aca="false">IF(OR(A12="",B12=""),"",B12-A12)</f>
        <v/>
      </c>
      <c r="O12" s="29"/>
      <c r="P12" s="2"/>
      <c r="Q12" s="2"/>
      <c r="R12" s="2"/>
    </row>
    <row r="13" customFormat="false" ht="15" hidden="false" customHeight="false" outlineLevel="0" collapsed="false">
      <c r="A13" s="27"/>
      <c r="B13" s="27"/>
      <c r="C13" s="29"/>
      <c r="D13" s="29"/>
      <c r="E13" s="29"/>
      <c r="F13" s="29"/>
      <c r="G13" s="29"/>
      <c r="H13" s="30"/>
      <c r="I13" s="30"/>
      <c r="J13" s="15" t="str">
        <f aca="false">IF(I13="","",ROUNDDOWN(I13*設定!$B$11,0))</f>
        <v/>
      </c>
      <c r="K13" s="15" t="str">
        <f aca="false">IF(I13="","",設定!$B$12)</f>
        <v/>
      </c>
      <c r="L13" s="15" t="str">
        <f aca="false">IF(OR(H13="",I13=""),"",I13-H13-J13-K13)</f>
        <v/>
      </c>
      <c r="M13" s="16" t="str">
        <f aca="false">IF(OR(L13="",I13=0),"",L13/I13)</f>
        <v/>
      </c>
      <c r="N13" s="5" t="str">
        <f aca="false">IF(OR(A13="",B13=""),"",B13-A13)</f>
        <v/>
      </c>
      <c r="O13" s="29"/>
      <c r="P13" s="2"/>
      <c r="Q13" s="2"/>
      <c r="R13" s="2"/>
    </row>
    <row r="14" customFormat="false" ht="15" hidden="false" customHeight="false" outlineLevel="0" collapsed="false">
      <c r="A14" s="27"/>
      <c r="B14" s="27"/>
      <c r="C14" s="29"/>
      <c r="D14" s="29"/>
      <c r="E14" s="29"/>
      <c r="F14" s="29"/>
      <c r="G14" s="29"/>
      <c r="H14" s="30"/>
      <c r="I14" s="30"/>
      <c r="J14" s="15" t="str">
        <f aca="false">IF(I14="","",ROUNDDOWN(I14*設定!$B$11,0))</f>
        <v/>
      </c>
      <c r="K14" s="15" t="str">
        <f aca="false">IF(I14="","",設定!$B$12)</f>
        <v/>
      </c>
      <c r="L14" s="15" t="str">
        <f aca="false">IF(OR(H14="",I14=""),"",I14-H14-J14-K14)</f>
        <v/>
      </c>
      <c r="M14" s="16" t="str">
        <f aca="false">IF(OR(L14="",I14=0),"",L14/I14)</f>
        <v/>
      </c>
      <c r="N14" s="5" t="str">
        <f aca="false">IF(OR(A14="",B14=""),"",B14-A14)</f>
        <v/>
      </c>
      <c r="O14" s="29"/>
      <c r="P14" s="2"/>
      <c r="Q14" s="2"/>
      <c r="R14" s="2"/>
    </row>
    <row r="15" customFormat="false" ht="15" hidden="false" customHeight="false" outlineLevel="0" collapsed="false">
      <c r="A15" s="27"/>
      <c r="B15" s="27"/>
      <c r="C15" s="29"/>
      <c r="D15" s="29"/>
      <c r="E15" s="29"/>
      <c r="F15" s="29"/>
      <c r="G15" s="29"/>
      <c r="H15" s="30"/>
      <c r="I15" s="30"/>
      <c r="J15" s="15" t="str">
        <f aca="false">IF(I15="","",ROUNDDOWN(I15*設定!$B$11,0))</f>
        <v/>
      </c>
      <c r="K15" s="15" t="str">
        <f aca="false">IF(I15="","",設定!$B$12)</f>
        <v/>
      </c>
      <c r="L15" s="15" t="str">
        <f aca="false">IF(OR(H15="",I15=""),"",I15-H15-J15-K15)</f>
        <v/>
      </c>
      <c r="M15" s="16" t="str">
        <f aca="false">IF(OR(L15="",I15=0),"",L15/I15)</f>
        <v/>
      </c>
      <c r="N15" s="5" t="str">
        <f aca="false">IF(OR(A15="",B15=""),"",B15-A15)</f>
        <v/>
      </c>
      <c r="O15" s="29"/>
      <c r="P15" s="2"/>
      <c r="Q15" s="2"/>
      <c r="R15" s="2"/>
    </row>
    <row r="16" customFormat="false" ht="15" hidden="false" customHeight="false" outlineLevel="0" collapsed="false">
      <c r="A16" s="27"/>
      <c r="B16" s="27"/>
      <c r="C16" s="29"/>
      <c r="D16" s="29"/>
      <c r="E16" s="29"/>
      <c r="F16" s="29"/>
      <c r="G16" s="29"/>
      <c r="H16" s="30"/>
      <c r="I16" s="30"/>
      <c r="J16" s="15" t="str">
        <f aca="false">IF(I16="","",ROUNDDOWN(I16*設定!$B$11,0))</f>
        <v/>
      </c>
      <c r="K16" s="15" t="str">
        <f aca="false">IF(I16="","",設定!$B$12)</f>
        <v/>
      </c>
      <c r="L16" s="15" t="str">
        <f aca="false">IF(OR(H16="",I16=""),"",I16-H16-J16-K16)</f>
        <v/>
      </c>
      <c r="M16" s="16" t="str">
        <f aca="false">IF(OR(L16="",I16=0),"",L16/I16)</f>
        <v/>
      </c>
      <c r="N16" s="5" t="str">
        <f aca="false">IF(OR(A16="",B16=""),"",B16-A16)</f>
        <v/>
      </c>
      <c r="O16" s="29"/>
      <c r="P16" s="2"/>
      <c r="Q16" s="2"/>
      <c r="R16" s="2"/>
    </row>
    <row r="17" customFormat="false" ht="15" hidden="false" customHeight="false" outlineLevel="0" collapsed="false">
      <c r="A17" s="27"/>
      <c r="B17" s="27"/>
      <c r="C17" s="29"/>
      <c r="D17" s="29"/>
      <c r="E17" s="29"/>
      <c r="F17" s="29"/>
      <c r="G17" s="29"/>
      <c r="H17" s="30"/>
      <c r="I17" s="30"/>
      <c r="J17" s="15" t="str">
        <f aca="false">IF(I17="","",ROUNDDOWN(I17*設定!$B$11,0))</f>
        <v/>
      </c>
      <c r="K17" s="15" t="str">
        <f aca="false">IF(I17="","",設定!$B$12)</f>
        <v/>
      </c>
      <c r="L17" s="15" t="str">
        <f aca="false">IF(OR(H17="",I17=""),"",I17-H17-J17-K17)</f>
        <v/>
      </c>
      <c r="M17" s="16" t="str">
        <f aca="false">IF(OR(L17="",I17=0),"",L17/I17)</f>
        <v/>
      </c>
      <c r="N17" s="5" t="str">
        <f aca="false">IF(OR(A17="",B17=""),"",B17-A17)</f>
        <v/>
      </c>
      <c r="O17" s="29"/>
      <c r="P17" s="2"/>
      <c r="Q17" s="2"/>
      <c r="R17" s="2"/>
    </row>
    <row r="18" customFormat="false" ht="15" hidden="false" customHeight="false" outlineLevel="0" collapsed="false">
      <c r="A18" s="27"/>
      <c r="B18" s="27"/>
      <c r="C18" s="29"/>
      <c r="D18" s="29"/>
      <c r="E18" s="29"/>
      <c r="F18" s="29"/>
      <c r="G18" s="29"/>
      <c r="H18" s="30"/>
      <c r="I18" s="30"/>
      <c r="J18" s="15" t="str">
        <f aca="false">IF(I18="","",ROUNDDOWN(I18*設定!$B$11,0))</f>
        <v/>
      </c>
      <c r="K18" s="15" t="str">
        <f aca="false">IF(I18="","",設定!$B$12)</f>
        <v/>
      </c>
      <c r="L18" s="15" t="str">
        <f aca="false">IF(OR(H18="",I18=""),"",I18-H18-J18-K18)</f>
        <v/>
      </c>
      <c r="M18" s="16" t="str">
        <f aca="false">IF(OR(L18="",I18=0),"",L18/I18)</f>
        <v/>
      </c>
      <c r="N18" s="5" t="str">
        <f aca="false">IF(OR(A18="",B18=""),"",B18-A18)</f>
        <v/>
      </c>
      <c r="O18" s="29"/>
      <c r="P18" s="2"/>
      <c r="Q18" s="2"/>
      <c r="R18" s="2"/>
    </row>
    <row r="19" customFormat="false" ht="15" hidden="false" customHeight="false" outlineLevel="0" collapsed="false">
      <c r="A19" s="27"/>
      <c r="B19" s="27"/>
      <c r="C19" s="29"/>
      <c r="D19" s="29"/>
      <c r="E19" s="29"/>
      <c r="F19" s="29"/>
      <c r="G19" s="29"/>
      <c r="H19" s="30"/>
      <c r="I19" s="30"/>
      <c r="J19" s="15" t="str">
        <f aca="false">IF(I19="","",ROUNDDOWN(I19*設定!$B$11,0))</f>
        <v/>
      </c>
      <c r="K19" s="15" t="str">
        <f aca="false">IF(I19="","",設定!$B$12)</f>
        <v/>
      </c>
      <c r="L19" s="15" t="str">
        <f aca="false">IF(OR(H19="",I19=""),"",I19-H19-J19-K19)</f>
        <v/>
      </c>
      <c r="M19" s="16" t="str">
        <f aca="false">IF(OR(L19="",I19=0),"",L19/I19)</f>
        <v/>
      </c>
      <c r="N19" s="5" t="str">
        <f aca="false">IF(OR(A19="",B19=""),"",B19-A19)</f>
        <v/>
      </c>
      <c r="O19" s="29"/>
      <c r="P19" s="2"/>
      <c r="Q19" s="2"/>
      <c r="R19" s="2"/>
    </row>
    <row r="20" customFormat="false" ht="15" hidden="false" customHeight="false" outlineLevel="0" collapsed="false">
      <c r="A20" s="27"/>
      <c r="B20" s="27"/>
      <c r="C20" s="29"/>
      <c r="D20" s="29"/>
      <c r="E20" s="29"/>
      <c r="F20" s="29"/>
      <c r="G20" s="29"/>
      <c r="H20" s="30"/>
      <c r="I20" s="30"/>
      <c r="J20" s="15" t="str">
        <f aca="false">IF(I20="","",ROUNDDOWN(I20*設定!$B$11,0))</f>
        <v/>
      </c>
      <c r="K20" s="15" t="str">
        <f aca="false">IF(I20="","",設定!$B$12)</f>
        <v/>
      </c>
      <c r="L20" s="15" t="str">
        <f aca="false">IF(OR(H20="",I20=""),"",I20-H20-J20-K20)</f>
        <v/>
      </c>
      <c r="M20" s="16" t="str">
        <f aca="false">IF(OR(L20="",I20=0),"",L20/I20)</f>
        <v/>
      </c>
      <c r="N20" s="5" t="str">
        <f aca="false">IF(OR(A20="",B20=""),"",B20-A20)</f>
        <v/>
      </c>
      <c r="O20" s="29"/>
      <c r="P20" s="2"/>
      <c r="Q20" s="2"/>
      <c r="R20" s="2"/>
    </row>
    <row r="21" customFormat="false" ht="15" hidden="false" customHeight="false" outlineLevel="0" collapsed="false">
      <c r="A21" s="27"/>
      <c r="B21" s="27"/>
      <c r="C21" s="29"/>
      <c r="D21" s="29"/>
      <c r="E21" s="29"/>
      <c r="F21" s="29"/>
      <c r="G21" s="29"/>
      <c r="H21" s="30"/>
      <c r="I21" s="30"/>
      <c r="J21" s="15" t="str">
        <f aca="false">IF(I21="","",ROUNDDOWN(I21*設定!$B$11,0))</f>
        <v/>
      </c>
      <c r="K21" s="15" t="str">
        <f aca="false">IF(I21="","",設定!$B$12)</f>
        <v/>
      </c>
      <c r="L21" s="15" t="str">
        <f aca="false">IF(OR(H21="",I21=""),"",I21-H21-J21-K21)</f>
        <v/>
      </c>
      <c r="M21" s="16" t="str">
        <f aca="false">IF(OR(L21="",I21=0),"",L21/I21)</f>
        <v/>
      </c>
      <c r="N21" s="5" t="str">
        <f aca="false">IF(OR(A21="",B21=""),"",B21-A21)</f>
        <v/>
      </c>
      <c r="O21" s="29"/>
      <c r="P21" s="2"/>
      <c r="Q21" s="2"/>
      <c r="R21" s="2"/>
    </row>
    <row r="22" customFormat="false" ht="15" hidden="false" customHeight="false" outlineLevel="0" collapsed="false">
      <c r="A22" s="27"/>
      <c r="B22" s="27"/>
      <c r="C22" s="29"/>
      <c r="D22" s="29"/>
      <c r="E22" s="29"/>
      <c r="F22" s="29"/>
      <c r="G22" s="29"/>
      <c r="H22" s="30"/>
      <c r="I22" s="30"/>
      <c r="J22" s="15" t="str">
        <f aca="false">IF(I22="","",ROUNDDOWN(I22*設定!$B$11,0))</f>
        <v/>
      </c>
      <c r="K22" s="15" t="str">
        <f aca="false">IF(I22="","",設定!$B$12)</f>
        <v/>
      </c>
      <c r="L22" s="15" t="str">
        <f aca="false">IF(OR(H22="",I22=""),"",I22-H22-J22-K22)</f>
        <v/>
      </c>
      <c r="M22" s="16" t="str">
        <f aca="false">IF(OR(L22="",I22=0),"",L22/I22)</f>
        <v/>
      </c>
      <c r="N22" s="5" t="str">
        <f aca="false">IF(OR(A22="",B22=""),"",B22-A22)</f>
        <v/>
      </c>
      <c r="O22" s="29"/>
      <c r="P22" s="2"/>
      <c r="Q22" s="2"/>
      <c r="R22" s="2"/>
    </row>
    <row r="23" customFormat="false" ht="15" hidden="false" customHeight="false" outlineLevel="0" collapsed="false">
      <c r="A23" s="27"/>
      <c r="B23" s="27"/>
      <c r="C23" s="29"/>
      <c r="D23" s="29"/>
      <c r="E23" s="29"/>
      <c r="F23" s="29"/>
      <c r="G23" s="29"/>
      <c r="H23" s="30"/>
      <c r="I23" s="30"/>
      <c r="J23" s="15" t="str">
        <f aca="false">IF(I23="","",ROUNDDOWN(I23*設定!$B$11,0))</f>
        <v/>
      </c>
      <c r="K23" s="15" t="str">
        <f aca="false">IF(I23="","",設定!$B$12)</f>
        <v/>
      </c>
      <c r="L23" s="15" t="str">
        <f aca="false">IF(OR(H23="",I23=""),"",I23-H23-J23-K23)</f>
        <v/>
      </c>
      <c r="M23" s="16" t="str">
        <f aca="false">IF(OR(L23="",I23=0),"",L23/I23)</f>
        <v/>
      </c>
      <c r="N23" s="5" t="str">
        <f aca="false">IF(OR(A23="",B23=""),"",B23-A23)</f>
        <v/>
      </c>
      <c r="O23" s="29"/>
      <c r="P23" s="2"/>
      <c r="Q23" s="2"/>
      <c r="R23" s="2"/>
    </row>
    <row r="24" customFormat="false" ht="15" hidden="false" customHeight="false" outlineLevel="0" collapsed="false">
      <c r="A24" s="27"/>
      <c r="B24" s="27"/>
      <c r="C24" s="29"/>
      <c r="D24" s="29"/>
      <c r="E24" s="29"/>
      <c r="F24" s="29"/>
      <c r="G24" s="29"/>
      <c r="H24" s="30"/>
      <c r="I24" s="30"/>
      <c r="J24" s="15" t="str">
        <f aca="false">IF(I24="","",ROUNDDOWN(I24*設定!$B$11,0))</f>
        <v/>
      </c>
      <c r="K24" s="15" t="str">
        <f aca="false">IF(I24="","",設定!$B$12)</f>
        <v/>
      </c>
      <c r="L24" s="15" t="str">
        <f aca="false">IF(OR(H24="",I24=""),"",I24-H24-J24-K24)</f>
        <v/>
      </c>
      <c r="M24" s="16" t="str">
        <f aca="false">IF(OR(L24="",I24=0),"",L24/I24)</f>
        <v/>
      </c>
      <c r="N24" s="5" t="str">
        <f aca="false">IF(OR(A24="",B24=""),"",B24-A24)</f>
        <v/>
      </c>
      <c r="O24" s="29"/>
      <c r="P24" s="2"/>
      <c r="Q24" s="2"/>
      <c r="R24" s="2"/>
    </row>
    <row r="25" customFormat="false" ht="15" hidden="false" customHeight="false" outlineLevel="0" collapsed="false">
      <c r="A25" s="27"/>
      <c r="B25" s="27"/>
      <c r="C25" s="29"/>
      <c r="D25" s="29"/>
      <c r="E25" s="29"/>
      <c r="F25" s="29"/>
      <c r="G25" s="29"/>
      <c r="H25" s="30"/>
      <c r="I25" s="30"/>
      <c r="J25" s="15" t="str">
        <f aca="false">IF(I25="","",ROUNDDOWN(I25*設定!$B$11,0))</f>
        <v/>
      </c>
      <c r="K25" s="15" t="str">
        <f aca="false">IF(I25="","",設定!$B$12)</f>
        <v/>
      </c>
      <c r="L25" s="15" t="str">
        <f aca="false">IF(OR(H25="",I25=""),"",I25-H25-J25-K25)</f>
        <v/>
      </c>
      <c r="M25" s="16" t="str">
        <f aca="false">IF(OR(L25="",I25=0),"",L25/I25)</f>
        <v/>
      </c>
      <c r="N25" s="5" t="str">
        <f aca="false">IF(OR(A25="",B25=""),"",B25-A25)</f>
        <v/>
      </c>
      <c r="O25" s="29"/>
      <c r="P25" s="2"/>
      <c r="Q25" s="2"/>
      <c r="R25" s="2"/>
    </row>
    <row r="26" customFormat="false" ht="15" hidden="false" customHeight="false" outlineLevel="0" collapsed="false">
      <c r="A26" s="27"/>
      <c r="B26" s="27"/>
      <c r="C26" s="29"/>
      <c r="D26" s="29"/>
      <c r="E26" s="29"/>
      <c r="F26" s="29"/>
      <c r="G26" s="29"/>
      <c r="H26" s="30"/>
      <c r="I26" s="30"/>
      <c r="J26" s="15" t="str">
        <f aca="false">IF(I26="","",ROUNDDOWN(I26*設定!$B$11,0))</f>
        <v/>
      </c>
      <c r="K26" s="15" t="str">
        <f aca="false">IF(I26="","",設定!$B$12)</f>
        <v/>
      </c>
      <c r="L26" s="15" t="str">
        <f aca="false">IF(OR(H26="",I26=""),"",I26-H26-J26-K26)</f>
        <v/>
      </c>
      <c r="M26" s="16" t="str">
        <f aca="false">IF(OR(L26="",I26=0),"",L26/I26)</f>
        <v/>
      </c>
      <c r="N26" s="5" t="str">
        <f aca="false">IF(OR(A26="",B26=""),"",B26-A26)</f>
        <v/>
      </c>
      <c r="O26" s="29"/>
      <c r="P26" s="2"/>
      <c r="Q26" s="2"/>
      <c r="R26" s="2"/>
    </row>
    <row r="27" customFormat="false" ht="15" hidden="false" customHeight="false" outlineLevel="0" collapsed="false">
      <c r="A27" s="27"/>
      <c r="B27" s="27"/>
      <c r="C27" s="29"/>
      <c r="D27" s="29"/>
      <c r="E27" s="29"/>
      <c r="F27" s="29"/>
      <c r="G27" s="29"/>
      <c r="H27" s="30"/>
      <c r="I27" s="30"/>
      <c r="J27" s="15" t="str">
        <f aca="false">IF(I27="","",ROUNDDOWN(I27*設定!$B$11,0))</f>
        <v/>
      </c>
      <c r="K27" s="15" t="str">
        <f aca="false">IF(I27="","",設定!$B$12)</f>
        <v/>
      </c>
      <c r="L27" s="15" t="str">
        <f aca="false">IF(OR(H27="",I27=""),"",I27-H27-J27-K27)</f>
        <v/>
      </c>
      <c r="M27" s="16" t="str">
        <f aca="false">IF(OR(L27="",I27=0),"",L27/I27)</f>
        <v/>
      </c>
      <c r="N27" s="5" t="str">
        <f aca="false">IF(OR(A27="",B27=""),"",B27-A27)</f>
        <v/>
      </c>
      <c r="O27" s="29"/>
      <c r="P27" s="2"/>
      <c r="Q27" s="2"/>
      <c r="R27" s="2"/>
    </row>
    <row r="28" customFormat="false" ht="15" hidden="false" customHeight="false" outlineLevel="0" collapsed="false">
      <c r="A28" s="27"/>
      <c r="B28" s="27"/>
      <c r="C28" s="29"/>
      <c r="D28" s="29"/>
      <c r="E28" s="29"/>
      <c r="F28" s="29"/>
      <c r="G28" s="29"/>
      <c r="H28" s="30"/>
      <c r="I28" s="30"/>
      <c r="J28" s="15" t="str">
        <f aca="false">IF(I28="","",ROUNDDOWN(I28*設定!$B$11,0))</f>
        <v/>
      </c>
      <c r="K28" s="15" t="str">
        <f aca="false">IF(I28="","",設定!$B$12)</f>
        <v/>
      </c>
      <c r="L28" s="15" t="str">
        <f aca="false">IF(OR(H28="",I28=""),"",I28-H28-J28-K28)</f>
        <v/>
      </c>
      <c r="M28" s="16" t="str">
        <f aca="false">IF(OR(L28="",I28=0),"",L28/I28)</f>
        <v/>
      </c>
      <c r="N28" s="5" t="str">
        <f aca="false">IF(OR(A28="",B28=""),"",B28-A28)</f>
        <v/>
      </c>
      <c r="O28" s="29"/>
      <c r="P28" s="2"/>
      <c r="Q28" s="2"/>
      <c r="R28" s="2"/>
    </row>
    <row r="29" customFormat="false" ht="15" hidden="false" customHeight="false" outlineLevel="0" collapsed="false">
      <c r="A29" s="27"/>
      <c r="B29" s="27"/>
      <c r="C29" s="29"/>
      <c r="D29" s="29"/>
      <c r="E29" s="29"/>
      <c r="F29" s="29"/>
      <c r="G29" s="29"/>
      <c r="H29" s="30"/>
      <c r="I29" s="30"/>
      <c r="J29" s="15" t="str">
        <f aca="false">IF(I29="","",ROUNDDOWN(I29*設定!$B$11,0))</f>
        <v/>
      </c>
      <c r="K29" s="15" t="str">
        <f aca="false">IF(I29="","",設定!$B$12)</f>
        <v/>
      </c>
      <c r="L29" s="15" t="str">
        <f aca="false">IF(OR(H29="",I29=""),"",I29-H29-J29-K29)</f>
        <v/>
      </c>
      <c r="M29" s="16" t="str">
        <f aca="false">IF(OR(L29="",I29=0),"",L29/I29)</f>
        <v/>
      </c>
      <c r="N29" s="5" t="str">
        <f aca="false">IF(OR(A29="",B29=""),"",B29-A29)</f>
        <v/>
      </c>
      <c r="O29" s="29"/>
      <c r="P29" s="2"/>
      <c r="Q29" s="2"/>
      <c r="R29" s="2"/>
    </row>
    <row r="30" customFormat="false" ht="15" hidden="false" customHeight="false" outlineLevel="0" collapsed="false">
      <c r="A30" s="27"/>
      <c r="B30" s="27"/>
      <c r="C30" s="29"/>
      <c r="D30" s="29"/>
      <c r="E30" s="29"/>
      <c r="F30" s="29"/>
      <c r="G30" s="29"/>
      <c r="H30" s="30"/>
      <c r="I30" s="30"/>
      <c r="J30" s="15" t="str">
        <f aca="false">IF(I30="","",ROUNDDOWN(I30*設定!$B$11,0))</f>
        <v/>
      </c>
      <c r="K30" s="15" t="str">
        <f aca="false">IF(I30="","",設定!$B$12)</f>
        <v/>
      </c>
      <c r="L30" s="15" t="str">
        <f aca="false">IF(OR(H30="",I30=""),"",I30-H30-J30-K30)</f>
        <v/>
      </c>
      <c r="M30" s="16" t="str">
        <f aca="false">IF(OR(L30="",I30=0),"",L30/I30)</f>
        <v/>
      </c>
      <c r="N30" s="5" t="str">
        <f aca="false">IF(OR(A30="",B30=""),"",B30-A30)</f>
        <v/>
      </c>
      <c r="O30" s="29"/>
      <c r="P30" s="2"/>
      <c r="Q30" s="2"/>
      <c r="R30" s="2"/>
    </row>
    <row r="31" customFormat="false" ht="15" hidden="false" customHeight="false" outlineLevel="0" collapsed="false">
      <c r="A31" s="27"/>
      <c r="B31" s="27"/>
      <c r="C31" s="29"/>
      <c r="D31" s="29"/>
      <c r="E31" s="29"/>
      <c r="F31" s="29"/>
      <c r="G31" s="29"/>
      <c r="H31" s="30"/>
      <c r="I31" s="30"/>
      <c r="J31" s="15" t="str">
        <f aca="false">IF(I31="","",ROUNDDOWN(I31*設定!$B$11,0))</f>
        <v/>
      </c>
      <c r="K31" s="15" t="str">
        <f aca="false">IF(I31="","",設定!$B$12)</f>
        <v/>
      </c>
      <c r="L31" s="15" t="str">
        <f aca="false">IF(OR(H31="",I31=""),"",I31-H31-J31-K31)</f>
        <v/>
      </c>
      <c r="M31" s="16" t="str">
        <f aca="false">IF(OR(L31="",I31=0),"",L31/I31)</f>
        <v/>
      </c>
      <c r="N31" s="5" t="str">
        <f aca="false">IF(OR(A31="",B31=""),"",B31-A31)</f>
        <v/>
      </c>
      <c r="O31" s="29"/>
      <c r="P31" s="2"/>
      <c r="Q31" s="2"/>
      <c r="R31" s="2"/>
    </row>
    <row r="32" customFormat="false" ht="15" hidden="false" customHeight="false" outlineLevel="0" collapsed="false">
      <c r="A32" s="27"/>
      <c r="B32" s="27"/>
      <c r="C32" s="29"/>
      <c r="D32" s="29"/>
      <c r="E32" s="29"/>
      <c r="F32" s="29"/>
      <c r="G32" s="29"/>
      <c r="H32" s="30"/>
      <c r="I32" s="30"/>
      <c r="J32" s="15" t="str">
        <f aca="false">IF(I32="","",ROUNDDOWN(I32*設定!$B$11,0))</f>
        <v/>
      </c>
      <c r="K32" s="15" t="str">
        <f aca="false">IF(I32="","",設定!$B$12)</f>
        <v/>
      </c>
      <c r="L32" s="15" t="str">
        <f aca="false">IF(OR(H32="",I32=""),"",I32-H32-J32-K32)</f>
        <v/>
      </c>
      <c r="M32" s="16" t="str">
        <f aca="false">IF(OR(L32="",I32=0),"",L32/I32)</f>
        <v/>
      </c>
      <c r="N32" s="5" t="str">
        <f aca="false">IF(OR(A32="",B32=""),"",B32-A32)</f>
        <v/>
      </c>
      <c r="O32" s="29"/>
      <c r="P32" s="2"/>
      <c r="Q32" s="2"/>
      <c r="R32" s="2"/>
    </row>
    <row r="33" customFormat="false" ht="15" hidden="false" customHeight="false" outlineLevel="0" collapsed="false">
      <c r="A33" s="27"/>
      <c r="B33" s="27"/>
      <c r="C33" s="29"/>
      <c r="D33" s="29"/>
      <c r="E33" s="29"/>
      <c r="F33" s="29"/>
      <c r="G33" s="29"/>
      <c r="H33" s="30"/>
      <c r="I33" s="30"/>
      <c r="J33" s="15" t="str">
        <f aca="false">IF(I33="","",ROUNDDOWN(I33*設定!$B$11,0))</f>
        <v/>
      </c>
      <c r="K33" s="15" t="str">
        <f aca="false">IF(I33="","",設定!$B$12)</f>
        <v/>
      </c>
      <c r="L33" s="15" t="str">
        <f aca="false">IF(OR(H33="",I33=""),"",I33-H33-J33-K33)</f>
        <v/>
      </c>
      <c r="M33" s="16" t="str">
        <f aca="false">IF(OR(L33="",I33=0),"",L33/I33)</f>
        <v/>
      </c>
      <c r="N33" s="5" t="str">
        <f aca="false">IF(OR(A33="",B33=""),"",B33-A33)</f>
        <v/>
      </c>
      <c r="O33" s="29"/>
      <c r="P33" s="2"/>
      <c r="Q33" s="2"/>
      <c r="R33" s="2"/>
    </row>
    <row r="34" customFormat="false" ht="15" hidden="false" customHeight="false" outlineLevel="0" collapsed="false">
      <c r="A34" s="27"/>
      <c r="B34" s="27"/>
      <c r="C34" s="29"/>
      <c r="D34" s="29"/>
      <c r="E34" s="29"/>
      <c r="F34" s="29"/>
      <c r="G34" s="29"/>
      <c r="H34" s="30"/>
      <c r="I34" s="30"/>
      <c r="J34" s="15" t="str">
        <f aca="false">IF(I34="","",ROUNDDOWN(I34*設定!$B$11,0))</f>
        <v/>
      </c>
      <c r="K34" s="15" t="str">
        <f aca="false">IF(I34="","",設定!$B$12)</f>
        <v/>
      </c>
      <c r="L34" s="15" t="str">
        <f aca="false">IF(OR(H34="",I34=""),"",I34-H34-J34-K34)</f>
        <v/>
      </c>
      <c r="M34" s="16" t="str">
        <f aca="false">IF(OR(L34="",I34=0),"",L34/I34)</f>
        <v/>
      </c>
      <c r="N34" s="5" t="str">
        <f aca="false">IF(OR(A34="",B34=""),"",B34-A34)</f>
        <v/>
      </c>
      <c r="O34" s="29"/>
      <c r="P34" s="2"/>
      <c r="Q34" s="2"/>
      <c r="R34" s="2"/>
    </row>
    <row r="35" customFormat="false" ht="15" hidden="false" customHeight="false" outlineLevel="0" collapsed="false">
      <c r="A35" s="27"/>
      <c r="B35" s="27"/>
      <c r="C35" s="29"/>
      <c r="D35" s="29"/>
      <c r="E35" s="29"/>
      <c r="F35" s="29"/>
      <c r="G35" s="29"/>
      <c r="H35" s="30"/>
      <c r="I35" s="30"/>
      <c r="J35" s="15" t="str">
        <f aca="false">IF(I35="","",ROUNDDOWN(I35*設定!$B$11,0))</f>
        <v/>
      </c>
      <c r="K35" s="15" t="str">
        <f aca="false">IF(I35="","",設定!$B$12)</f>
        <v/>
      </c>
      <c r="L35" s="15" t="str">
        <f aca="false">IF(OR(H35="",I35=""),"",I35-H35-J35-K35)</f>
        <v/>
      </c>
      <c r="M35" s="16" t="str">
        <f aca="false">IF(OR(L35="",I35=0),"",L35/I35)</f>
        <v/>
      </c>
      <c r="N35" s="5" t="str">
        <f aca="false">IF(OR(A35="",B35=""),"",B35-A35)</f>
        <v/>
      </c>
      <c r="O35" s="29"/>
      <c r="P35" s="2"/>
      <c r="Q35" s="2"/>
      <c r="R35" s="2"/>
    </row>
    <row r="36" customFormat="false" ht="15" hidden="false" customHeight="false" outlineLevel="0" collapsed="false">
      <c r="A36" s="27"/>
      <c r="B36" s="27"/>
      <c r="C36" s="29"/>
      <c r="D36" s="29"/>
      <c r="E36" s="29"/>
      <c r="F36" s="29"/>
      <c r="G36" s="29"/>
      <c r="H36" s="30"/>
      <c r="I36" s="30"/>
      <c r="J36" s="15" t="str">
        <f aca="false">IF(I36="","",ROUNDDOWN(I36*設定!$B$11,0))</f>
        <v/>
      </c>
      <c r="K36" s="15" t="str">
        <f aca="false">IF(I36="","",設定!$B$12)</f>
        <v/>
      </c>
      <c r="L36" s="15" t="str">
        <f aca="false">IF(OR(H36="",I36=""),"",I36-H36-J36-K36)</f>
        <v/>
      </c>
      <c r="M36" s="16" t="str">
        <f aca="false">IF(OR(L36="",I36=0),"",L36/I36)</f>
        <v/>
      </c>
      <c r="N36" s="5" t="str">
        <f aca="false">IF(OR(A36="",B36=""),"",B36-A36)</f>
        <v/>
      </c>
      <c r="O36" s="29"/>
      <c r="P36" s="2"/>
      <c r="Q36" s="2"/>
      <c r="R36" s="2"/>
    </row>
    <row r="37" customFormat="false" ht="15" hidden="false" customHeight="false" outlineLevel="0" collapsed="false">
      <c r="A37" s="27"/>
      <c r="B37" s="27"/>
      <c r="C37" s="29"/>
      <c r="D37" s="29"/>
      <c r="E37" s="29"/>
      <c r="F37" s="29"/>
      <c r="G37" s="29"/>
      <c r="H37" s="30"/>
      <c r="I37" s="30"/>
      <c r="J37" s="15" t="str">
        <f aca="false">IF(I37="","",ROUNDDOWN(I37*設定!$B$11,0))</f>
        <v/>
      </c>
      <c r="K37" s="15" t="str">
        <f aca="false">IF(I37="","",設定!$B$12)</f>
        <v/>
      </c>
      <c r="L37" s="15" t="str">
        <f aca="false">IF(OR(H37="",I37=""),"",I37-H37-J37-K37)</f>
        <v/>
      </c>
      <c r="M37" s="16" t="str">
        <f aca="false">IF(OR(L37="",I37=0),"",L37/I37)</f>
        <v/>
      </c>
      <c r="N37" s="5" t="str">
        <f aca="false">IF(OR(A37="",B37=""),"",B37-A37)</f>
        <v/>
      </c>
      <c r="O37" s="29"/>
      <c r="P37" s="2"/>
      <c r="Q37" s="2"/>
      <c r="R37" s="2"/>
    </row>
    <row r="38" customFormat="false" ht="15" hidden="false" customHeight="false" outlineLevel="0" collapsed="false">
      <c r="A38" s="27"/>
      <c r="B38" s="27"/>
      <c r="C38" s="29"/>
      <c r="D38" s="29"/>
      <c r="E38" s="29"/>
      <c r="F38" s="29"/>
      <c r="G38" s="29"/>
      <c r="H38" s="30"/>
      <c r="I38" s="30"/>
      <c r="J38" s="15" t="str">
        <f aca="false">IF(I38="","",ROUNDDOWN(I38*設定!$B$11,0))</f>
        <v/>
      </c>
      <c r="K38" s="15" t="str">
        <f aca="false">IF(I38="","",設定!$B$12)</f>
        <v/>
      </c>
      <c r="L38" s="15" t="str">
        <f aca="false">IF(OR(H38="",I38=""),"",I38-H38-J38-K38)</f>
        <v/>
      </c>
      <c r="M38" s="16" t="str">
        <f aca="false">IF(OR(L38="",I38=0),"",L38/I38)</f>
        <v/>
      </c>
      <c r="N38" s="5" t="str">
        <f aca="false">IF(OR(A38="",B38=""),"",B38-A38)</f>
        <v/>
      </c>
      <c r="O38" s="29"/>
      <c r="P38" s="2"/>
      <c r="Q38" s="2"/>
      <c r="R38" s="2"/>
    </row>
    <row r="39" customFormat="false" ht="15" hidden="false" customHeight="false" outlineLevel="0" collapsed="false">
      <c r="A39" s="27"/>
      <c r="B39" s="27"/>
      <c r="C39" s="29"/>
      <c r="D39" s="29"/>
      <c r="E39" s="29"/>
      <c r="F39" s="29"/>
      <c r="G39" s="29"/>
      <c r="H39" s="30"/>
      <c r="I39" s="30"/>
      <c r="J39" s="15" t="str">
        <f aca="false">IF(I39="","",ROUNDDOWN(I39*設定!$B$11,0))</f>
        <v/>
      </c>
      <c r="K39" s="15" t="str">
        <f aca="false">IF(I39="","",設定!$B$12)</f>
        <v/>
      </c>
      <c r="L39" s="15" t="str">
        <f aca="false">IF(OR(H39="",I39=""),"",I39-H39-J39-K39)</f>
        <v/>
      </c>
      <c r="M39" s="16" t="str">
        <f aca="false">IF(OR(L39="",I39=0),"",L39/I39)</f>
        <v/>
      </c>
      <c r="N39" s="5" t="str">
        <f aca="false">IF(OR(A39="",B39=""),"",B39-A39)</f>
        <v/>
      </c>
      <c r="O39" s="29"/>
      <c r="P39" s="2"/>
      <c r="Q39" s="2"/>
      <c r="R39" s="2"/>
    </row>
    <row r="40" customFormat="false" ht="15" hidden="false" customHeight="false" outlineLevel="0" collapsed="false">
      <c r="A40" s="27"/>
      <c r="B40" s="27"/>
      <c r="C40" s="29"/>
      <c r="D40" s="29"/>
      <c r="E40" s="29"/>
      <c r="F40" s="29"/>
      <c r="G40" s="29"/>
      <c r="H40" s="30"/>
      <c r="I40" s="30"/>
      <c r="J40" s="15" t="str">
        <f aca="false">IF(I40="","",ROUNDDOWN(I40*設定!$B$11,0))</f>
        <v/>
      </c>
      <c r="K40" s="15" t="str">
        <f aca="false">IF(I40="","",設定!$B$12)</f>
        <v/>
      </c>
      <c r="L40" s="15" t="str">
        <f aca="false">IF(OR(H40="",I40=""),"",I40-H40-J40-K40)</f>
        <v/>
      </c>
      <c r="M40" s="16" t="str">
        <f aca="false">IF(OR(L40="",I40=0),"",L40/I40)</f>
        <v/>
      </c>
      <c r="N40" s="5" t="str">
        <f aca="false">IF(OR(A40="",B40=""),"",B40-A40)</f>
        <v/>
      </c>
      <c r="O40" s="29"/>
      <c r="P40" s="2"/>
      <c r="Q40" s="2"/>
      <c r="R40" s="2"/>
    </row>
    <row r="41" customFormat="false" ht="15" hidden="false" customHeight="false" outlineLevel="0" collapsed="false">
      <c r="A41" s="27"/>
      <c r="B41" s="27"/>
      <c r="C41" s="29"/>
      <c r="D41" s="29"/>
      <c r="E41" s="29"/>
      <c r="F41" s="29"/>
      <c r="G41" s="29"/>
      <c r="H41" s="30"/>
      <c r="I41" s="30"/>
      <c r="J41" s="15" t="str">
        <f aca="false">IF(I41="","",ROUNDDOWN(I41*設定!$B$11,0))</f>
        <v/>
      </c>
      <c r="K41" s="15" t="str">
        <f aca="false">IF(I41="","",設定!$B$12)</f>
        <v/>
      </c>
      <c r="L41" s="15" t="str">
        <f aca="false">IF(OR(H41="",I41=""),"",I41-H41-J41-K41)</f>
        <v/>
      </c>
      <c r="M41" s="16" t="str">
        <f aca="false">IF(OR(L41="",I41=0),"",L41/I41)</f>
        <v/>
      </c>
      <c r="N41" s="5" t="str">
        <f aca="false">IF(OR(A41="",B41=""),"",B41-A41)</f>
        <v/>
      </c>
      <c r="O41" s="29"/>
      <c r="P41" s="2"/>
      <c r="Q41" s="2"/>
      <c r="R41" s="2"/>
    </row>
    <row r="42" customFormat="false" ht="15" hidden="false" customHeight="false" outlineLevel="0" collapsed="false">
      <c r="A42" s="27"/>
      <c r="B42" s="27"/>
      <c r="C42" s="29"/>
      <c r="D42" s="29"/>
      <c r="E42" s="29"/>
      <c r="F42" s="29"/>
      <c r="G42" s="29"/>
      <c r="H42" s="30"/>
      <c r="I42" s="30"/>
      <c r="J42" s="15" t="str">
        <f aca="false">IF(I42="","",ROUNDDOWN(I42*設定!$B$11,0))</f>
        <v/>
      </c>
      <c r="K42" s="15" t="str">
        <f aca="false">IF(I42="","",設定!$B$12)</f>
        <v/>
      </c>
      <c r="L42" s="15" t="str">
        <f aca="false">IF(OR(H42="",I42=""),"",I42-H42-J42-K42)</f>
        <v/>
      </c>
      <c r="M42" s="16" t="str">
        <f aca="false">IF(OR(L42="",I42=0),"",L42/I42)</f>
        <v/>
      </c>
      <c r="N42" s="5" t="str">
        <f aca="false">IF(OR(A42="",B42=""),"",B42-A42)</f>
        <v/>
      </c>
      <c r="O42" s="29"/>
      <c r="P42" s="2"/>
      <c r="Q42" s="2"/>
      <c r="R42" s="2"/>
    </row>
    <row r="43" customFormat="false" ht="15" hidden="false" customHeight="false" outlineLevel="0" collapsed="false">
      <c r="A43" s="27"/>
      <c r="B43" s="27"/>
      <c r="C43" s="29"/>
      <c r="D43" s="29"/>
      <c r="E43" s="29"/>
      <c r="F43" s="29"/>
      <c r="G43" s="29"/>
      <c r="H43" s="30"/>
      <c r="I43" s="30"/>
      <c r="J43" s="15" t="str">
        <f aca="false">IF(I43="","",ROUNDDOWN(I43*設定!$B$11,0))</f>
        <v/>
      </c>
      <c r="K43" s="15" t="str">
        <f aca="false">IF(I43="","",設定!$B$12)</f>
        <v/>
      </c>
      <c r="L43" s="15" t="str">
        <f aca="false">IF(OR(H43="",I43=""),"",I43-H43-J43-K43)</f>
        <v/>
      </c>
      <c r="M43" s="16" t="str">
        <f aca="false">IF(OR(L43="",I43=0),"",L43/I43)</f>
        <v/>
      </c>
      <c r="N43" s="5" t="str">
        <f aca="false">IF(OR(A43="",B43=""),"",B43-A43)</f>
        <v/>
      </c>
      <c r="O43" s="29"/>
      <c r="P43" s="2"/>
      <c r="Q43" s="2"/>
      <c r="R43" s="2"/>
    </row>
    <row r="44" customFormat="false" ht="15" hidden="false" customHeight="false" outlineLevel="0" collapsed="false">
      <c r="A44" s="27"/>
      <c r="B44" s="27"/>
      <c r="C44" s="29"/>
      <c r="D44" s="29"/>
      <c r="E44" s="29"/>
      <c r="F44" s="29"/>
      <c r="G44" s="29"/>
      <c r="H44" s="30"/>
      <c r="I44" s="30"/>
      <c r="J44" s="15" t="str">
        <f aca="false">IF(I44="","",ROUNDDOWN(I44*設定!$B$11,0))</f>
        <v/>
      </c>
      <c r="K44" s="15" t="str">
        <f aca="false">IF(I44="","",設定!$B$12)</f>
        <v/>
      </c>
      <c r="L44" s="15" t="str">
        <f aca="false">IF(OR(H44="",I44=""),"",I44-H44-J44-K44)</f>
        <v/>
      </c>
      <c r="M44" s="16" t="str">
        <f aca="false">IF(OR(L44="",I44=0),"",L44/I44)</f>
        <v/>
      </c>
      <c r="N44" s="5" t="str">
        <f aca="false">IF(OR(A44="",B44=""),"",B44-A44)</f>
        <v/>
      </c>
      <c r="O44" s="29"/>
      <c r="P44" s="2"/>
      <c r="Q44" s="2"/>
      <c r="R44" s="2"/>
    </row>
    <row r="45" customFormat="false" ht="15" hidden="false" customHeight="false" outlineLevel="0" collapsed="false">
      <c r="A45" s="27"/>
      <c r="B45" s="27"/>
      <c r="C45" s="29"/>
      <c r="D45" s="29"/>
      <c r="E45" s="29"/>
      <c r="F45" s="29"/>
      <c r="G45" s="29"/>
      <c r="H45" s="30"/>
      <c r="I45" s="30"/>
      <c r="J45" s="15" t="str">
        <f aca="false">IF(I45="","",ROUNDDOWN(I45*設定!$B$11,0))</f>
        <v/>
      </c>
      <c r="K45" s="15" t="str">
        <f aca="false">IF(I45="","",設定!$B$12)</f>
        <v/>
      </c>
      <c r="L45" s="15" t="str">
        <f aca="false">IF(OR(H45="",I45=""),"",I45-H45-J45-K45)</f>
        <v/>
      </c>
      <c r="M45" s="16" t="str">
        <f aca="false">IF(OR(L45="",I45=0),"",L45/I45)</f>
        <v/>
      </c>
      <c r="N45" s="5" t="str">
        <f aca="false">IF(OR(A45="",B45=""),"",B45-A45)</f>
        <v/>
      </c>
      <c r="O45" s="29"/>
      <c r="P45" s="2"/>
      <c r="Q45" s="2"/>
      <c r="R45" s="2"/>
    </row>
    <row r="46" customFormat="false" ht="15" hidden="false" customHeight="false" outlineLevel="0" collapsed="false">
      <c r="A46" s="27"/>
      <c r="B46" s="27"/>
      <c r="C46" s="29"/>
      <c r="D46" s="29"/>
      <c r="E46" s="29"/>
      <c r="F46" s="29"/>
      <c r="G46" s="29"/>
      <c r="H46" s="30"/>
      <c r="I46" s="30"/>
      <c r="J46" s="15" t="str">
        <f aca="false">IF(I46="","",ROUNDDOWN(I46*設定!$B$11,0))</f>
        <v/>
      </c>
      <c r="K46" s="15" t="str">
        <f aca="false">IF(I46="","",設定!$B$12)</f>
        <v/>
      </c>
      <c r="L46" s="15" t="str">
        <f aca="false">IF(OR(H46="",I46=""),"",I46-H46-J46-K46)</f>
        <v/>
      </c>
      <c r="M46" s="16" t="str">
        <f aca="false">IF(OR(L46="",I46=0),"",L46/I46)</f>
        <v/>
      </c>
      <c r="N46" s="5" t="str">
        <f aca="false">IF(OR(A46="",B46=""),"",B46-A46)</f>
        <v/>
      </c>
      <c r="O46" s="29"/>
      <c r="P46" s="2"/>
      <c r="Q46" s="2"/>
      <c r="R46" s="2"/>
    </row>
    <row r="47" customFormat="false" ht="15" hidden="false" customHeight="false" outlineLevel="0" collapsed="false">
      <c r="A47" s="27"/>
      <c r="B47" s="27"/>
      <c r="C47" s="29"/>
      <c r="D47" s="29"/>
      <c r="E47" s="29"/>
      <c r="F47" s="29"/>
      <c r="G47" s="29"/>
      <c r="H47" s="30"/>
      <c r="I47" s="30"/>
      <c r="J47" s="15" t="str">
        <f aca="false">IF(I47="","",ROUNDDOWN(I47*設定!$B$11,0))</f>
        <v/>
      </c>
      <c r="K47" s="15" t="str">
        <f aca="false">IF(I47="","",設定!$B$12)</f>
        <v/>
      </c>
      <c r="L47" s="15" t="str">
        <f aca="false">IF(OR(H47="",I47=""),"",I47-H47-J47-K47)</f>
        <v/>
      </c>
      <c r="M47" s="16" t="str">
        <f aca="false">IF(OR(L47="",I47=0),"",L47/I47)</f>
        <v/>
      </c>
      <c r="N47" s="5" t="str">
        <f aca="false">IF(OR(A47="",B47=""),"",B47-A47)</f>
        <v/>
      </c>
      <c r="O47" s="29"/>
      <c r="P47" s="2"/>
      <c r="Q47" s="2"/>
      <c r="R47" s="2"/>
    </row>
    <row r="48" customFormat="false" ht="15" hidden="false" customHeight="false" outlineLevel="0" collapsed="false">
      <c r="A48" s="27"/>
      <c r="B48" s="27"/>
      <c r="C48" s="29"/>
      <c r="D48" s="29"/>
      <c r="E48" s="29"/>
      <c r="F48" s="29"/>
      <c r="G48" s="29"/>
      <c r="H48" s="30"/>
      <c r="I48" s="30"/>
      <c r="J48" s="15" t="str">
        <f aca="false">IF(I48="","",ROUNDDOWN(I48*設定!$B$11,0))</f>
        <v/>
      </c>
      <c r="K48" s="15" t="str">
        <f aca="false">IF(I48="","",設定!$B$12)</f>
        <v/>
      </c>
      <c r="L48" s="15" t="str">
        <f aca="false">IF(OR(H48="",I48=""),"",I48-H48-J48-K48)</f>
        <v/>
      </c>
      <c r="M48" s="16" t="str">
        <f aca="false">IF(OR(L48="",I48=0),"",L48/I48)</f>
        <v/>
      </c>
      <c r="N48" s="5" t="str">
        <f aca="false">IF(OR(A48="",B48=""),"",B48-A48)</f>
        <v/>
      </c>
      <c r="O48" s="29"/>
      <c r="P48" s="2"/>
      <c r="Q48" s="2"/>
      <c r="R48" s="2"/>
    </row>
    <row r="49" customFormat="false" ht="15" hidden="false" customHeight="false" outlineLevel="0" collapsed="false">
      <c r="A49" s="27"/>
      <c r="B49" s="27"/>
      <c r="C49" s="29"/>
      <c r="D49" s="29"/>
      <c r="E49" s="29"/>
      <c r="F49" s="29"/>
      <c r="G49" s="29"/>
      <c r="H49" s="30"/>
      <c r="I49" s="30"/>
      <c r="J49" s="15" t="str">
        <f aca="false">IF(I49="","",ROUNDDOWN(I49*設定!$B$11,0))</f>
        <v/>
      </c>
      <c r="K49" s="15" t="str">
        <f aca="false">IF(I49="","",設定!$B$12)</f>
        <v/>
      </c>
      <c r="L49" s="15" t="str">
        <f aca="false">IF(OR(H49="",I49=""),"",I49-H49-J49-K49)</f>
        <v/>
      </c>
      <c r="M49" s="16" t="str">
        <f aca="false">IF(OR(L49="",I49=0),"",L49/I49)</f>
        <v/>
      </c>
      <c r="N49" s="5" t="str">
        <f aca="false">IF(OR(A49="",B49=""),"",B49-A49)</f>
        <v/>
      </c>
      <c r="O49" s="29"/>
      <c r="P49" s="2"/>
      <c r="Q49" s="2"/>
      <c r="R49" s="2"/>
    </row>
    <row r="50" customFormat="false" ht="15" hidden="false" customHeight="false" outlineLevel="0" collapsed="false">
      <c r="A50" s="27"/>
      <c r="B50" s="27"/>
      <c r="C50" s="29"/>
      <c r="D50" s="29"/>
      <c r="E50" s="29"/>
      <c r="F50" s="29"/>
      <c r="G50" s="29"/>
      <c r="H50" s="30"/>
      <c r="I50" s="30"/>
      <c r="J50" s="15" t="str">
        <f aca="false">IF(I50="","",ROUNDDOWN(I50*設定!$B$11,0))</f>
        <v/>
      </c>
      <c r="K50" s="15" t="str">
        <f aca="false">IF(I50="","",設定!$B$12)</f>
        <v/>
      </c>
      <c r="L50" s="15" t="str">
        <f aca="false">IF(OR(H50="",I50=""),"",I50-H50-J50-K50)</f>
        <v/>
      </c>
      <c r="M50" s="16" t="str">
        <f aca="false">IF(OR(L50="",I50=0),"",L50/I50)</f>
        <v/>
      </c>
      <c r="N50" s="5" t="str">
        <f aca="false">IF(OR(A50="",B50=""),"",B50-A50)</f>
        <v/>
      </c>
      <c r="O50" s="29"/>
      <c r="P50" s="2"/>
      <c r="Q50" s="2"/>
      <c r="R50" s="2"/>
    </row>
    <row r="51" customFormat="false" ht="15" hidden="false" customHeight="false" outlineLevel="0" collapsed="false">
      <c r="A51" s="27"/>
      <c r="B51" s="27"/>
      <c r="C51" s="29"/>
      <c r="D51" s="29"/>
      <c r="E51" s="29"/>
      <c r="F51" s="29"/>
      <c r="G51" s="29"/>
      <c r="H51" s="30"/>
      <c r="I51" s="30"/>
      <c r="J51" s="15" t="str">
        <f aca="false">IF(I51="","",ROUNDDOWN(I51*設定!$B$11,0))</f>
        <v/>
      </c>
      <c r="K51" s="15" t="str">
        <f aca="false">IF(I51="","",設定!$B$12)</f>
        <v/>
      </c>
      <c r="L51" s="15" t="str">
        <f aca="false">IF(OR(H51="",I51=""),"",I51-H51-J51-K51)</f>
        <v/>
      </c>
      <c r="M51" s="16" t="str">
        <f aca="false">IF(OR(L51="",I51=0),"",L51/I51)</f>
        <v/>
      </c>
      <c r="N51" s="5" t="str">
        <f aca="false">IF(OR(A51="",B51=""),"",B51-A51)</f>
        <v/>
      </c>
      <c r="O51" s="29"/>
      <c r="P51" s="2"/>
      <c r="Q51" s="2"/>
      <c r="R51" s="2"/>
    </row>
    <row r="52" customFormat="false" ht="15" hidden="false" customHeight="false" outlineLevel="0" collapsed="false">
      <c r="A52" s="27"/>
      <c r="B52" s="27"/>
      <c r="C52" s="29"/>
      <c r="D52" s="29"/>
      <c r="E52" s="29"/>
      <c r="F52" s="29"/>
      <c r="G52" s="29"/>
      <c r="H52" s="30"/>
      <c r="I52" s="30"/>
      <c r="J52" s="15" t="str">
        <f aca="false">IF(I52="","",ROUNDDOWN(I52*設定!$B$11,0))</f>
        <v/>
      </c>
      <c r="K52" s="15" t="str">
        <f aca="false">IF(I52="","",設定!$B$12)</f>
        <v/>
      </c>
      <c r="L52" s="15" t="str">
        <f aca="false">IF(OR(H52="",I52=""),"",I52-H52-J52-K52)</f>
        <v/>
      </c>
      <c r="M52" s="16" t="str">
        <f aca="false">IF(OR(L52="",I52=0),"",L52/I52)</f>
        <v/>
      </c>
      <c r="N52" s="5" t="str">
        <f aca="false">IF(OR(A52="",B52=""),"",B52-A52)</f>
        <v/>
      </c>
      <c r="O52" s="29"/>
      <c r="P52" s="2"/>
      <c r="Q52" s="2"/>
      <c r="R52" s="2"/>
    </row>
    <row r="53" customFormat="false" ht="15" hidden="false" customHeight="false" outlineLevel="0" collapsed="false">
      <c r="A53" s="27"/>
      <c r="B53" s="27"/>
      <c r="C53" s="29"/>
      <c r="D53" s="29"/>
      <c r="E53" s="29"/>
      <c r="F53" s="29"/>
      <c r="G53" s="29"/>
      <c r="H53" s="30"/>
      <c r="I53" s="30"/>
      <c r="J53" s="15" t="str">
        <f aca="false">IF(I53="","",ROUNDDOWN(I53*設定!$B$11,0))</f>
        <v/>
      </c>
      <c r="K53" s="15" t="str">
        <f aca="false">IF(I53="","",設定!$B$12)</f>
        <v/>
      </c>
      <c r="L53" s="15" t="str">
        <f aca="false">IF(OR(H53="",I53=""),"",I53-H53-J53-K53)</f>
        <v/>
      </c>
      <c r="M53" s="16" t="str">
        <f aca="false">IF(OR(L53="",I53=0),"",L53/I53)</f>
        <v/>
      </c>
      <c r="N53" s="5" t="str">
        <f aca="false">IF(OR(A53="",B53=""),"",B53-A53)</f>
        <v/>
      </c>
      <c r="O53" s="29"/>
      <c r="P53" s="2"/>
      <c r="Q53" s="2"/>
      <c r="R53" s="2"/>
    </row>
    <row r="54" customFormat="false" ht="15" hidden="false" customHeight="false" outlineLevel="0" collapsed="false">
      <c r="A54" s="27"/>
      <c r="B54" s="27"/>
      <c r="C54" s="29"/>
      <c r="D54" s="29"/>
      <c r="E54" s="29"/>
      <c r="F54" s="29"/>
      <c r="G54" s="29"/>
      <c r="H54" s="30"/>
      <c r="I54" s="30"/>
      <c r="J54" s="15" t="str">
        <f aca="false">IF(I54="","",ROUNDDOWN(I54*設定!$B$11,0))</f>
        <v/>
      </c>
      <c r="K54" s="15" t="str">
        <f aca="false">IF(I54="","",設定!$B$12)</f>
        <v/>
      </c>
      <c r="L54" s="15" t="str">
        <f aca="false">IF(OR(H54="",I54=""),"",I54-H54-J54-K54)</f>
        <v/>
      </c>
      <c r="M54" s="16" t="str">
        <f aca="false">IF(OR(L54="",I54=0),"",L54/I54)</f>
        <v/>
      </c>
      <c r="N54" s="5" t="str">
        <f aca="false">IF(OR(A54="",B54=""),"",B54-A54)</f>
        <v/>
      </c>
      <c r="O54" s="29"/>
      <c r="P54" s="2"/>
      <c r="Q54" s="2"/>
      <c r="R54" s="2"/>
    </row>
    <row r="55" customFormat="false" ht="15" hidden="false" customHeight="false" outlineLevel="0" collapsed="false">
      <c r="A55" s="27"/>
      <c r="B55" s="27"/>
      <c r="C55" s="29"/>
      <c r="D55" s="29"/>
      <c r="E55" s="29"/>
      <c r="F55" s="29"/>
      <c r="G55" s="29"/>
      <c r="H55" s="30"/>
      <c r="I55" s="30"/>
      <c r="J55" s="15" t="str">
        <f aca="false">IF(I55="","",ROUNDDOWN(I55*設定!$B$11,0))</f>
        <v/>
      </c>
      <c r="K55" s="15" t="str">
        <f aca="false">IF(I55="","",設定!$B$12)</f>
        <v/>
      </c>
      <c r="L55" s="15" t="str">
        <f aca="false">IF(OR(H55="",I55=""),"",I55-H55-J55-K55)</f>
        <v/>
      </c>
      <c r="M55" s="16" t="str">
        <f aca="false">IF(OR(L55="",I55=0),"",L55/I55)</f>
        <v/>
      </c>
      <c r="N55" s="5" t="str">
        <f aca="false">IF(OR(A55="",B55=""),"",B55-A55)</f>
        <v/>
      </c>
      <c r="O55" s="29"/>
      <c r="P55" s="2"/>
      <c r="Q55" s="2"/>
      <c r="R55" s="2"/>
    </row>
    <row r="56" customFormat="false" ht="15" hidden="false" customHeight="false" outlineLevel="0" collapsed="false">
      <c r="A56" s="27"/>
      <c r="B56" s="27"/>
      <c r="C56" s="29"/>
      <c r="D56" s="29"/>
      <c r="E56" s="29"/>
      <c r="F56" s="29"/>
      <c r="G56" s="29"/>
      <c r="H56" s="30"/>
      <c r="I56" s="30"/>
      <c r="J56" s="15" t="str">
        <f aca="false">IF(I56="","",ROUNDDOWN(I56*設定!$B$11,0))</f>
        <v/>
      </c>
      <c r="K56" s="15" t="str">
        <f aca="false">IF(I56="","",設定!$B$12)</f>
        <v/>
      </c>
      <c r="L56" s="15" t="str">
        <f aca="false">IF(OR(H56="",I56=""),"",I56-H56-J56-K56)</f>
        <v/>
      </c>
      <c r="M56" s="16" t="str">
        <f aca="false">IF(OR(L56="",I56=0),"",L56/I56)</f>
        <v/>
      </c>
      <c r="N56" s="5" t="str">
        <f aca="false">IF(OR(A56="",B56=""),"",B56-A56)</f>
        <v/>
      </c>
      <c r="O56" s="29"/>
      <c r="P56" s="2"/>
      <c r="Q56" s="2"/>
      <c r="R56" s="2"/>
    </row>
    <row r="57" customFormat="false" ht="15" hidden="false" customHeight="false" outlineLevel="0" collapsed="false">
      <c r="A57" s="27"/>
      <c r="B57" s="27"/>
      <c r="C57" s="29"/>
      <c r="D57" s="29"/>
      <c r="E57" s="29"/>
      <c r="F57" s="29"/>
      <c r="G57" s="29"/>
      <c r="H57" s="30"/>
      <c r="I57" s="30"/>
      <c r="J57" s="15" t="str">
        <f aca="false">IF(I57="","",ROUNDDOWN(I57*設定!$B$11,0))</f>
        <v/>
      </c>
      <c r="K57" s="15" t="str">
        <f aca="false">IF(I57="","",設定!$B$12)</f>
        <v/>
      </c>
      <c r="L57" s="15" t="str">
        <f aca="false">IF(OR(H57="",I57=""),"",I57-H57-J57-K57)</f>
        <v/>
      </c>
      <c r="M57" s="16" t="str">
        <f aca="false">IF(OR(L57="",I57=0),"",L57/I57)</f>
        <v/>
      </c>
      <c r="N57" s="5" t="str">
        <f aca="false">IF(OR(A57="",B57=""),"",B57-A57)</f>
        <v/>
      </c>
      <c r="O57" s="29"/>
      <c r="P57" s="2"/>
      <c r="Q57" s="2"/>
      <c r="R57" s="2"/>
    </row>
    <row r="58" customFormat="false" ht="15" hidden="false" customHeight="false" outlineLevel="0" collapsed="false">
      <c r="A58" s="27"/>
      <c r="B58" s="27"/>
      <c r="C58" s="29"/>
      <c r="D58" s="29"/>
      <c r="E58" s="29"/>
      <c r="F58" s="29"/>
      <c r="G58" s="29"/>
      <c r="H58" s="30"/>
      <c r="I58" s="30"/>
      <c r="J58" s="15" t="str">
        <f aca="false">IF(I58="","",ROUNDDOWN(I58*設定!$B$11,0))</f>
        <v/>
      </c>
      <c r="K58" s="15" t="str">
        <f aca="false">IF(I58="","",設定!$B$12)</f>
        <v/>
      </c>
      <c r="L58" s="15" t="str">
        <f aca="false">IF(OR(H58="",I58=""),"",I58-H58-J58-K58)</f>
        <v/>
      </c>
      <c r="M58" s="16" t="str">
        <f aca="false">IF(OR(L58="",I58=0),"",L58/I58)</f>
        <v/>
      </c>
      <c r="N58" s="5" t="str">
        <f aca="false">IF(OR(A58="",B58=""),"",B58-A58)</f>
        <v/>
      </c>
      <c r="O58" s="29"/>
      <c r="P58" s="2"/>
      <c r="Q58" s="2"/>
      <c r="R58" s="2"/>
    </row>
    <row r="59" customFormat="false" ht="15" hidden="false" customHeight="false" outlineLevel="0" collapsed="false">
      <c r="A59" s="27"/>
      <c r="B59" s="27"/>
      <c r="C59" s="29"/>
      <c r="D59" s="29"/>
      <c r="E59" s="29"/>
      <c r="F59" s="29"/>
      <c r="G59" s="29"/>
      <c r="H59" s="30"/>
      <c r="I59" s="30"/>
      <c r="J59" s="15" t="str">
        <f aca="false">IF(I59="","",ROUNDDOWN(I59*設定!$B$11,0))</f>
        <v/>
      </c>
      <c r="K59" s="15" t="str">
        <f aca="false">IF(I59="","",設定!$B$12)</f>
        <v/>
      </c>
      <c r="L59" s="15" t="str">
        <f aca="false">IF(OR(H59="",I59=""),"",I59-H59-J59-K59)</f>
        <v/>
      </c>
      <c r="M59" s="16" t="str">
        <f aca="false">IF(OR(L59="",I59=0),"",L59/I59)</f>
        <v/>
      </c>
      <c r="N59" s="5" t="str">
        <f aca="false">IF(OR(A59="",B59=""),"",B59-A59)</f>
        <v/>
      </c>
      <c r="O59" s="29"/>
      <c r="P59" s="2"/>
      <c r="Q59" s="2"/>
      <c r="R59" s="2"/>
    </row>
    <row r="60" customFormat="false" ht="15" hidden="false" customHeight="false" outlineLevel="0" collapsed="false">
      <c r="A60" s="27"/>
      <c r="B60" s="27"/>
      <c r="C60" s="29"/>
      <c r="D60" s="29"/>
      <c r="E60" s="29"/>
      <c r="F60" s="29"/>
      <c r="G60" s="29"/>
      <c r="H60" s="30"/>
      <c r="I60" s="30"/>
      <c r="J60" s="15" t="str">
        <f aca="false">IF(I60="","",ROUNDDOWN(I60*設定!$B$11,0))</f>
        <v/>
      </c>
      <c r="K60" s="15" t="str">
        <f aca="false">IF(I60="","",設定!$B$12)</f>
        <v/>
      </c>
      <c r="L60" s="15" t="str">
        <f aca="false">IF(OR(H60="",I60=""),"",I60-H60-J60-K60)</f>
        <v/>
      </c>
      <c r="M60" s="16" t="str">
        <f aca="false">IF(OR(L60="",I60=0),"",L60/I60)</f>
        <v/>
      </c>
      <c r="N60" s="5" t="str">
        <f aca="false">IF(OR(A60="",B60=""),"",B60-A60)</f>
        <v/>
      </c>
      <c r="O60" s="29"/>
      <c r="P60" s="2"/>
      <c r="Q60" s="2"/>
      <c r="R60" s="2"/>
    </row>
    <row r="61" customFormat="false" ht="15" hidden="false" customHeight="false" outlineLevel="0" collapsed="false">
      <c r="A61" s="27"/>
      <c r="B61" s="27"/>
      <c r="C61" s="29"/>
      <c r="D61" s="29"/>
      <c r="E61" s="29"/>
      <c r="F61" s="29"/>
      <c r="G61" s="29"/>
      <c r="H61" s="30"/>
      <c r="I61" s="30"/>
      <c r="J61" s="15" t="str">
        <f aca="false">IF(I61="","",ROUNDDOWN(I61*設定!$B$11,0))</f>
        <v/>
      </c>
      <c r="K61" s="15" t="str">
        <f aca="false">IF(I61="","",設定!$B$12)</f>
        <v/>
      </c>
      <c r="L61" s="15" t="str">
        <f aca="false">IF(OR(H61="",I61=""),"",I61-H61-J61-K61)</f>
        <v/>
      </c>
      <c r="M61" s="16" t="str">
        <f aca="false">IF(OR(L61="",I61=0),"",L61/I61)</f>
        <v/>
      </c>
      <c r="N61" s="5" t="str">
        <f aca="false">IF(OR(A61="",B61=""),"",B61-A61)</f>
        <v/>
      </c>
      <c r="O61" s="29"/>
      <c r="P61" s="2"/>
      <c r="Q61" s="2"/>
      <c r="R61" s="2"/>
    </row>
    <row r="62" customFormat="false" ht="15" hidden="false" customHeight="false" outlineLevel="0" collapsed="false">
      <c r="A62" s="27"/>
      <c r="B62" s="27"/>
      <c r="C62" s="29"/>
      <c r="D62" s="29"/>
      <c r="E62" s="29"/>
      <c r="F62" s="29"/>
      <c r="G62" s="29"/>
      <c r="H62" s="30"/>
      <c r="I62" s="30"/>
      <c r="J62" s="15" t="str">
        <f aca="false">IF(I62="","",ROUNDDOWN(I62*設定!$B$11,0))</f>
        <v/>
      </c>
      <c r="K62" s="15" t="str">
        <f aca="false">IF(I62="","",設定!$B$12)</f>
        <v/>
      </c>
      <c r="L62" s="15" t="str">
        <f aca="false">IF(OR(H62="",I62=""),"",I62-H62-J62-K62)</f>
        <v/>
      </c>
      <c r="M62" s="16" t="str">
        <f aca="false">IF(OR(L62="",I62=0),"",L62/I62)</f>
        <v/>
      </c>
      <c r="N62" s="5" t="str">
        <f aca="false">IF(OR(A62="",B62=""),"",B62-A62)</f>
        <v/>
      </c>
      <c r="O62" s="29"/>
      <c r="P62" s="2"/>
      <c r="Q62" s="2"/>
      <c r="R62" s="2"/>
    </row>
    <row r="63" customFormat="false" ht="15" hidden="false" customHeight="false" outlineLevel="0" collapsed="false">
      <c r="A63" s="27"/>
      <c r="B63" s="27"/>
      <c r="C63" s="29"/>
      <c r="D63" s="29"/>
      <c r="E63" s="29"/>
      <c r="F63" s="29"/>
      <c r="G63" s="29"/>
      <c r="H63" s="30"/>
      <c r="I63" s="30"/>
      <c r="J63" s="15" t="str">
        <f aca="false">IF(I63="","",ROUNDDOWN(I63*設定!$B$11,0))</f>
        <v/>
      </c>
      <c r="K63" s="15" t="str">
        <f aca="false">IF(I63="","",設定!$B$12)</f>
        <v/>
      </c>
      <c r="L63" s="15" t="str">
        <f aca="false">IF(OR(H63="",I63=""),"",I63-H63-J63-K63)</f>
        <v/>
      </c>
      <c r="M63" s="16" t="str">
        <f aca="false">IF(OR(L63="",I63=0),"",L63/I63)</f>
        <v/>
      </c>
      <c r="N63" s="5" t="str">
        <f aca="false">IF(OR(A63="",B63=""),"",B63-A63)</f>
        <v/>
      </c>
      <c r="O63" s="29"/>
      <c r="P63" s="2"/>
      <c r="Q63" s="2"/>
      <c r="R63" s="2"/>
    </row>
    <row r="64" customFormat="false" ht="15" hidden="false" customHeight="false" outlineLevel="0" collapsed="false">
      <c r="A64" s="27"/>
      <c r="B64" s="27"/>
      <c r="C64" s="29"/>
      <c r="D64" s="29"/>
      <c r="E64" s="29"/>
      <c r="F64" s="29"/>
      <c r="G64" s="29"/>
      <c r="H64" s="30"/>
      <c r="I64" s="30"/>
      <c r="J64" s="15" t="str">
        <f aca="false">IF(I64="","",ROUNDDOWN(I64*設定!$B$11,0))</f>
        <v/>
      </c>
      <c r="K64" s="15" t="str">
        <f aca="false">IF(I64="","",設定!$B$12)</f>
        <v/>
      </c>
      <c r="L64" s="15" t="str">
        <f aca="false">IF(OR(H64="",I64=""),"",I64-H64-J64-K64)</f>
        <v/>
      </c>
      <c r="M64" s="16" t="str">
        <f aca="false">IF(OR(L64="",I64=0),"",L64/I64)</f>
        <v/>
      </c>
      <c r="N64" s="5" t="str">
        <f aca="false">IF(OR(A64="",B64=""),"",B64-A64)</f>
        <v/>
      </c>
      <c r="O64" s="29"/>
      <c r="P64" s="2"/>
      <c r="Q64" s="2"/>
      <c r="R64" s="2"/>
    </row>
    <row r="65" customFormat="false" ht="15" hidden="false" customHeight="false" outlineLevel="0" collapsed="false">
      <c r="A65" s="27"/>
      <c r="B65" s="27"/>
      <c r="C65" s="29"/>
      <c r="D65" s="29"/>
      <c r="E65" s="29"/>
      <c r="F65" s="29"/>
      <c r="G65" s="29"/>
      <c r="H65" s="30"/>
      <c r="I65" s="30"/>
      <c r="J65" s="15" t="str">
        <f aca="false">IF(I65="","",ROUNDDOWN(I65*設定!$B$11,0))</f>
        <v/>
      </c>
      <c r="K65" s="15" t="str">
        <f aca="false">IF(I65="","",設定!$B$12)</f>
        <v/>
      </c>
      <c r="L65" s="15" t="str">
        <f aca="false">IF(OR(H65="",I65=""),"",I65-H65-J65-K65)</f>
        <v/>
      </c>
      <c r="M65" s="16" t="str">
        <f aca="false">IF(OR(L65="",I65=0),"",L65/I65)</f>
        <v/>
      </c>
      <c r="N65" s="5" t="str">
        <f aca="false">IF(OR(A65="",B65=""),"",B65-A65)</f>
        <v/>
      </c>
      <c r="O65" s="29"/>
      <c r="P65" s="2"/>
      <c r="Q65" s="2"/>
      <c r="R65" s="2"/>
    </row>
    <row r="66" customFormat="false" ht="15" hidden="false" customHeight="false" outlineLevel="0" collapsed="false">
      <c r="A66" s="27"/>
      <c r="B66" s="27"/>
      <c r="C66" s="29"/>
      <c r="D66" s="29"/>
      <c r="E66" s="29"/>
      <c r="F66" s="29"/>
      <c r="G66" s="29"/>
      <c r="H66" s="30"/>
      <c r="I66" s="30"/>
      <c r="J66" s="15" t="str">
        <f aca="false">IF(I66="","",ROUNDDOWN(I66*設定!$B$11,0))</f>
        <v/>
      </c>
      <c r="K66" s="15" t="str">
        <f aca="false">IF(I66="","",設定!$B$12)</f>
        <v/>
      </c>
      <c r="L66" s="15" t="str">
        <f aca="false">IF(OR(H66="",I66=""),"",I66-H66-J66-K66)</f>
        <v/>
      </c>
      <c r="M66" s="16" t="str">
        <f aca="false">IF(OR(L66="",I66=0),"",L66/I66)</f>
        <v/>
      </c>
      <c r="N66" s="5" t="str">
        <f aca="false">IF(OR(A66="",B66=""),"",B66-A66)</f>
        <v/>
      </c>
      <c r="O66" s="29"/>
      <c r="P66" s="2"/>
      <c r="Q66" s="2"/>
      <c r="R66" s="2"/>
    </row>
    <row r="67" customFormat="false" ht="15" hidden="false" customHeight="false" outlineLevel="0" collapsed="false">
      <c r="A67" s="27"/>
      <c r="B67" s="27"/>
      <c r="C67" s="29"/>
      <c r="D67" s="29"/>
      <c r="E67" s="29"/>
      <c r="F67" s="29"/>
      <c r="G67" s="29"/>
      <c r="H67" s="30"/>
      <c r="I67" s="30"/>
      <c r="J67" s="15" t="str">
        <f aca="false">IF(I67="","",ROUNDDOWN(I67*設定!$B$11,0))</f>
        <v/>
      </c>
      <c r="K67" s="15" t="str">
        <f aca="false">IF(I67="","",設定!$B$12)</f>
        <v/>
      </c>
      <c r="L67" s="15" t="str">
        <f aca="false">IF(OR(H67="",I67=""),"",I67-H67-J67-K67)</f>
        <v/>
      </c>
      <c r="M67" s="16" t="str">
        <f aca="false">IF(OR(L67="",I67=0),"",L67/I67)</f>
        <v/>
      </c>
      <c r="N67" s="5" t="str">
        <f aca="false">IF(OR(A67="",B67=""),"",B67-A67)</f>
        <v/>
      </c>
      <c r="O67" s="29"/>
      <c r="P67" s="2"/>
      <c r="Q67" s="2"/>
      <c r="R67" s="2"/>
    </row>
    <row r="68" customFormat="false" ht="15" hidden="false" customHeight="false" outlineLevel="0" collapsed="false">
      <c r="A68" s="27"/>
      <c r="B68" s="27"/>
      <c r="C68" s="29"/>
      <c r="D68" s="29"/>
      <c r="E68" s="29"/>
      <c r="F68" s="29"/>
      <c r="G68" s="29"/>
      <c r="H68" s="30"/>
      <c r="I68" s="30"/>
      <c r="J68" s="15" t="str">
        <f aca="false">IF(I68="","",ROUNDDOWN(I68*設定!$B$11,0))</f>
        <v/>
      </c>
      <c r="K68" s="15" t="str">
        <f aca="false">IF(I68="","",設定!$B$12)</f>
        <v/>
      </c>
      <c r="L68" s="15" t="str">
        <f aca="false">IF(OR(H68="",I68=""),"",I68-H68-J68-K68)</f>
        <v/>
      </c>
      <c r="M68" s="16" t="str">
        <f aca="false">IF(OR(L68="",I68=0),"",L68/I68)</f>
        <v/>
      </c>
      <c r="N68" s="5" t="str">
        <f aca="false">IF(OR(A68="",B68=""),"",B68-A68)</f>
        <v/>
      </c>
      <c r="O68" s="29"/>
      <c r="P68" s="2"/>
      <c r="Q68" s="2"/>
      <c r="R68" s="2"/>
    </row>
    <row r="69" customFormat="false" ht="15" hidden="false" customHeight="false" outlineLevel="0" collapsed="false">
      <c r="A69" s="27"/>
      <c r="B69" s="27"/>
      <c r="C69" s="29"/>
      <c r="D69" s="29"/>
      <c r="E69" s="29"/>
      <c r="F69" s="29"/>
      <c r="G69" s="29"/>
      <c r="H69" s="30"/>
      <c r="I69" s="30"/>
      <c r="J69" s="15" t="str">
        <f aca="false">IF(I69="","",ROUNDDOWN(I69*設定!$B$11,0))</f>
        <v/>
      </c>
      <c r="K69" s="15" t="str">
        <f aca="false">IF(I69="","",設定!$B$12)</f>
        <v/>
      </c>
      <c r="L69" s="15" t="str">
        <f aca="false">IF(OR(H69="",I69=""),"",I69-H69-J69-K69)</f>
        <v/>
      </c>
      <c r="M69" s="16" t="str">
        <f aca="false">IF(OR(L69="",I69=0),"",L69/I69)</f>
        <v/>
      </c>
      <c r="N69" s="5" t="str">
        <f aca="false">IF(OR(A69="",B69=""),"",B69-A69)</f>
        <v/>
      </c>
      <c r="O69" s="29"/>
      <c r="P69" s="2"/>
      <c r="Q69" s="2"/>
      <c r="R69" s="2"/>
    </row>
    <row r="70" customFormat="false" ht="15" hidden="false" customHeight="false" outlineLevel="0" collapsed="false">
      <c r="A70" s="27"/>
      <c r="B70" s="27"/>
      <c r="C70" s="29"/>
      <c r="D70" s="29"/>
      <c r="E70" s="29"/>
      <c r="F70" s="29"/>
      <c r="G70" s="29"/>
      <c r="H70" s="30"/>
      <c r="I70" s="30"/>
      <c r="J70" s="15" t="str">
        <f aca="false">IF(I70="","",ROUNDDOWN(I70*設定!$B$11,0))</f>
        <v/>
      </c>
      <c r="K70" s="15" t="str">
        <f aca="false">IF(I70="","",設定!$B$12)</f>
        <v/>
      </c>
      <c r="L70" s="15" t="str">
        <f aca="false">IF(OR(H70="",I70=""),"",I70-H70-J70-K70)</f>
        <v/>
      </c>
      <c r="M70" s="16" t="str">
        <f aca="false">IF(OR(L70="",I70=0),"",L70/I70)</f>
        <v/>
      </c>
      <c r="N70" s="5" t="str">
        <f aca="false">IF(OR(A70="",B70=""),"",B70-A70)</f>
        <v/>
      </c>
      <c r="O70" s="29"/>
      <c r="P70" s="2"/>
      <c r="Q70" s="2"/>
      <c r="R70" s="2"/>
    </row>
    <row r="71" customFormat="false" ht="15" hidden="false" customHeight="false" outlineLevel="0" collapsed="false">
      <c r="A71" s="27"/>
      <c r="B71" s="27"/>
      <c r="C71" s="29"/>
      <c r="D71" s="29"/>
      <c r="E71" s="29"/>
      <c r="F71" s="29"/>
      <c r="G71" s="29"/>
      <c r="H71" s="30"/>
      <c r="I71" s="30"/>
      <c r="J71" s="15" t="str">
        <f aca="false">IF(I71="","",ROUNDDOWN(I71*設定!$B$11,0))</f>
        <v/>
      </c>
      <c r="K71" s="15" t="str">
        <f aca="false">IF(I71="","",設定!$B$12)</f>
        <v/>
      </c>
      <c r="L71" s="15" t="str">
        <f aca="false">IF(OR(H71="",I71=""),"",I71-H71-J71-K71)</f>
        <v/>
      </c>
      <c r="M71" s="16" t="str">
        <f aca="false">IF(OR(L71="",I71=0),"",L71/I71)</f>
        <v/>
      </c>
      <c r="N71" s="5" t="str">
        <f aca="false">IF(OR(A71="",B71=""),"",B71-A71)</f>
        <v/>
      </c>
      <c r="O71" s="29"/>
      <c r="P71" s="2"/>
      <c r="Q71" s="2"/>
      <c r="R71" s="2"/>
    </row>
    <row r="72" customFormat="false" ht="15" hidden="false" customHeight="false" outlineLevel="0" collapsed="false">
      <c r="A72" s="27"/>
      <c r="B72" s="27"/>
      <c r="C72" s="29"/>
      <c r="D72" s="29"/>
      <c r="E72" s="29"/>
      <c r="F72" s="29"/>
      <c r="G72" s="29"/>
      <c r="H72" s="30"/>
      <c r="I72" s="30"/>
      <c r="J72" s="15" t="str">
        <f aca="false">IF(I72="","",ROUNDDOWN(I72*設定!$B$11,0))</f>
        <v/>
      </c>
      <c r="K72" s="15" t="str">
        <f aca="false">IF(I72="","",設定!$B$12)</f>
        <v/>
      </c>
      <c r="L72" s="15" t="str">
        <f aca="false">IF(OR(H72="",I72=""),"",I72-H72-J72-K72)</f>
        <v/>
      </c>
      <c r="M72" s="16" t="str">
        <f aca="false">IF(OR(L72="",I72=0),"",L72/I72)</f>
        <v/>
      </c>
      <c r="N72" s="5" t="str">
        <f aca="false">IF(OR(A72="",B72=""),"",B72-A72)</f>
        <v/>
      </c>
      <c r="O72" s="29"/>
      <c r="P72" s="2"/>
      <c r="Q72" s="2"/>
      <c r="R72" s="2"/>
    </row>
    <row r="73" customFormat="false" ht="15" hidden="false" customHeight="false" outlineLevel="0" collapsed="false">
      <c r="A73" s="27"/>
      <c r="B73" s="27"/>
      <c r="C73" s="29"/>
      <c r="D73" s="29"/>
      <c r="E73" s="29"/>
      <c r="F73" s="29"/>
      <c r="G73" s="29"/>
      <c r="H73" s="30"/>
      <c r="I73" s="30"/>
      <c r="J73" s="15" t="str">
        <f aca="false">IF(I73="","",ROUNDDOWN(I73*設定!$B$11,0))</f>
        <v/>
      </c>
      <c r="K73" s="15" t="str">
        <f aca="false">IF(I73="","",設定!$B$12)</f>
        <v/>
      </c>
      <c r="L73" s="15" t="str">
        <f aca="false">IF(OR(H73="",I73=""),"",I73-H73-J73-K73)</f>
        <v/>
      </c>
      <c r="M73" s="16" t="str">
        <f aca="false">IF(OR(L73="",I73=0),"",L73/I73)</f>
        <v/>
      </c>
      <c r="N73" s="5" t="str">
        <f aca="false">IF(OR(A73="",B73=""),"",B73-A73)</f>
        <v/>
      </c>
      <c r="O73" s="29"/>
      <c r="P73" s="2"/>
      <c r="Q73" s="2"/>
      <c r="R73" s="2"/>
    </row>
    <row r="74" customFormat="false" ht="15" hidden="false" customHeight="false" outlineLevel="0" collapsed="false">
      <c r="A74" s="27"/>
      <c r="B74" s="27"/>
      <c r="C74" s="29"/>
      <c r="D74" s="29"/>
      <c r="E74" s="29"/>
      <c r="F74" s="29"/>
      <c r="G74" s="29"/>
      <c r="H74" s="30"/>
      <c r="I74" s="30"/>
      <c r="J74" s="15" t="str">
        <f aca="false">IF(I74="","",ROUNDDOWN(I74*設定!$B$11,0))</f>
        <v/>
      </c>
      <c r="K74" s="15" t="str">
        <f aca="false">IF(I74="","",設定!$B$12)</f>
        <v/>
      </c>
      <c r="L74" s="15" t="str">
        <f aca="false">IF(OR(H74="",I74=""),"",I74-H74-J74-K74)</f>
        <v/>
      </c>
      <c r="M74" s="16" t="str">
        <f aca="false">IF(OR(L74="",I74=0),"",L74/I74)</f>
        <v/>
      </c>
      <c r="N74" s="5" t="str">
        <f aca="false">IF(OR(A74="",B74=""),"",B74-A74)</f>
        <v/>
      </c>
      <c r="O74" s="29"/>
      <c r="P74" s="2"/>
      <c r="Q74" s="2"/>
      <c r="R74" s="2"/>
    </row>
    <row r="75" customFormat="false" ht="15" hidden="false" customHeight="false" outlineLevel="0" collapsed="false">
      <c r="A75" s="27"/>
      <c r="B75" s="27"/>
      <c r="C75" s="29"/>
      <c r="D75" s="29"/>
      <c r="E75" s="29"/>
      <c r="F75" s="29"/>
      <c r="G75" s="29"/>
      <c r="H75" s="30"/>
      <c r="I75" s="30"/>
      <c r="J75" s="15" t="str">
        <f aca="false">IF(I75="","",ROUNDDOWN(I75*設定!$B$11,0))</f>
        <v/>
      </c>
      <c r="K75" s="15" t="str">
        <f aca="false">IF(I75="","",設定!$B$12)</f>
        <v/>
      </c>
      <c r="L75" s="15" t="str">
        <f aca="false">IF(OR(H75="",I75=""),"",I75-H75-J75-K75)</f>
        <v/>
      </c>
      <c r="M75" s="16" t="str">
        <f aca="false">IF(OR(L75="",I75=0),"",L75/I75)</f>
        <v/>
      </c>
      <c r="N75" s="5" t="str">
        <f aca="false">IF(OR(A75="",B75=""),"",B75-A75)</f>
        <v/>
      </c>
      <c r="O75" s="29"/>
      <c r="P75" s="2"/>
      <c r="Q75" s="2"/>
      <c r="R75" s="2"/>
    </row>
    <row r="76" customFormat="false" ht="15" hidden="false" customHeight="false" outlineLevel="0" collapsed="false">
      <c r="A76" s="27"/>
      <c r="B76" s="27"/>
      <c r="C76" s="29"/>
      <c r="D76" s="29"/>
      <c r="E76" s="29"/>
      <c r="F76" s="29"/>
      <c r="G76" s="29"/>
      <c r="H76" s="30"/>
      <c r="I76" s="30"/>
      <c r="J76" s="15" t="str">
        <f aca="false">IF(I76="","",ROUNDDOWN(I76*設定!$B$11,0))</f>
        <v/>
      </c>
      <c r="K76" s="15" t="str">
        <f aca="false">IF(I76="","",設定!$B$12)</f>
        <v/>
      </c>
      <c r="L76" s="15" t="str">
        <f aca="false">IF(OR(H76="",I76=""),"",I76-H76-J76-K76)</f>
        <v/>
      </c>
      <c r="M76" s="16" t="str">
        <f aca="false">IF(OR(L76="",I76=0),"",L76/I76)</f>
        <v/>
      </c>
      <c r="N76" s="5" t="str">
        <f aca="false">IF(OR(A76="",B76=""),"",B76-A76)</f>
        <v/>
      </c>
      <c r="O76" s="29"/>
      <c r="P76" s="2"/>
      <c r="Q76" s="2"/>
      <c r="R76" s="2"/>
    </row>
    <row r="77" customFormat="false" ht="15" hidden="false" customHeight="false" outlineLevel="0" collapsed="false">
      <c r="A77" s="27"/>
      <c r="B77" s="27"/>
      <c r="C77" s="29"/>
      <c r="D77" s="29"/>
      <c r="E77" s="29"/>
      <c r="F77" s="29"/>
      <c r="G77" s="29"/>
      <c r="H77" s="30"/>
      <c r="I77" s="30"/>
      <c r="J77" s="15" t="str">
        <f aca="false">IF(I77="","",ROUNDDOWN(I77*設定!$B$11,0))</f>
        <v/>
      </c>
      <c r="K77" s="15" t="str">
        <f aca="false">IF(I77="","",設定!$B$12)</f>
        <v/>
      </c>
      <c r="L77" s="15" t="str">
        <f aca="false">IF(OR(H77="",I77=""),"",I77-H77-J77-K77)</f>
        <v/>
      </c>
      <c r="M77" s="16" t="str">
        <f aca="false">IF(OR(L77="",I77=0),"",L77/I77)</f>
        <v/>
      </c>
      <c r="N77" s="5" t="str">
        <f aca="false">IF(OR(A77="",B77=""),"",B77-A77)</f>
        <v/>
      </c>
      <c r="O77" s="29"/>
      <c r="P77" s="2"/>
      <c r="Q77" s="2"/>
      <c r="R77" s="2"/>
    </row>
    <row r="78" customFormat="false" ht="15" hidden="false" customHeight="false" outlineLevel="0" collapsed="false">
      <c r="A78" s="27"/>
      <c r="B78" s="27"/>
      <c r="C78" s="29"/>
      <c r="D78" s="29"/>
      <c r="E78" s="29"/>
      <c r="F78" s="29"/>
      <c r="G78" s="29"/>
      <c r="H78" s="30"/>
      <c r="I78" s="30"/>
      <c r="J78" s="15" t="str">
        <f aca="false">IF(I78="","",ROUNDDOWN(I78*設定!$B$11,0))</f>
        <v/>
      </c>
      <c r="K78" s="15" t="str">
        <f aca="false">IF(I78="","",設定!$B$12)</f>
        <v/>
      </c>
      <c r="L78" s="15" t="str">
        <f aca="false">IF(OR(H78="",I78=""),"",I78-H78-J78-K78)</f>
        <v/>
      </c>
      <c r="M78" s="16" t="str">
        <f aca="false">IF(OR(L78="",I78=0),"",L78/I78)</f>
        <v/>
      </c>
      <c r="N78" s="5" t="str">
        <f aca="false">IF(OR(A78="",B78=""),"",B78-A78)</f>
        <v/>
      </c>
      <c r="O78" s="29"/>
      <c r="P78" s="2"/>
      <c r="Q78" s="2"/>
      <c r="R78" s="2"/>
    </row>
    <row r="79" customFormat="false" ht="15" hidden="false" customHeight="false" outlineLevel="0" collapsed="false">
      <c r="A79" s="27"/>
      <c r="B79" s="27"/>
      <c r="C79" s="29"/>
      <c r="D79" s="29"/>
      <c r="E79" s="29"/>
      <c r="F79" s="29"/>
      <c r="G79" s="29"/>
      <c r="H79" s="30"/>
      <c r="I79" s="30"/>
      <c r="J79" s="15" t="str">
        <f aca="false">IF(I79="","",ROUNDDOWN(I79*設定!$B$11,0))</f>
        <v/>
      </c>
      <c r="K79" s="15" t="str">
        <f aca="false">IF(I79="","",設定!$B$12)</f>
        <v/>
      </c>
      <c r="L79" s="15" t="str">
        <f aca="false">IF(OR(H79="",I79=""),"",I79-H79-J79-K79)</f>
        <v/>
      </c>
      <c r="M79" s="16" t="str">
        <f aca="false">IF(OR(L79="",I79=0),"",L79/I79)</f>
        <v/>
      </c>
      <c r="N79" s="5" t="str">
        <f aca="false">IF(OR(A79="",B79=""),"",B79-A79)</f>
        <v/>
      </c>
      <c r="O79" s="29"/>
      <c r="P79" s="2"/>
      <c r="Q79" s="2"/>
      <c r="R79" s="2"/>
    </row>
    <row r="80" customFormat="false" ht="15" hidden="false" customHeight="false" outlineLevel="0" collapsed="false">
      <c r="A80" s="27"/>
      <c r="B80" s="27"/>
      <c r="C80" s="29"/>
      <c r="D80" s="29"/>
      <c r="E80" s="29"/>
      <c r="F80" s="29"/>
      <c r="G80" s="29"/>
      <c r="H80" s="30"/>
      <c r="I80" s="30"/>
      <c r="J80" s="15" t="str">
        <f aca="false">IF(I80="","",ROUNDDOWN(I80*設定!$B$11,0))</f>
        <v/>
      </c>
      <c r="K80" s="15" t="str">
        <f aca="false">IF(I80="","",設定!$B$12)</f>
        <v/>
      </c>
      <c r="L80" s="15" t="str">
        <f aca="false">IF(OR(H80="",I80=""),"",I80-H80-J80-K80)</f>
        <v/>
      </c>
      <c r="M80" s="16" t="str">
        <f aca="false">IF(OR(L80="",I80=0),"",L80/I80)</f>
        <v/>
      </c>
      <c r="N80" s="5" t="str">
        <f aca="false">IF(OR(A80="",B80=""),"",B80-A80)</f>
        <v/>
      </c>
      <c r="O80" s="29"/>
      <c r="P80" s="2"/>
      <c r="Q80" s="2"/>
      <c r="R80" s="2"/>
    </row>
    <row r="81" customFormat="false" ht="15" hidden="false" customHeight="false" outlineLevel="0" collapsed="false">
      <c r="A81" s="27"/>
      <c r="B81" s="27"/>
      <c r="C81" s="29"/>
      <c r="D81" s="29"/>
      <c r="E81" s="29"/>
      <c r="F81" s="29"/>
      <c r="G81" s="29"/>
      <c r="H81" s="30"/>
      <c r="I81" s="30"/>
      <c r="J81" s="15" t="str">
        <f aca="false">IF(I81="","",ROUNDDOWN(I81*設定!$B$11,0))</f>
        <v/>
      </c>
      <c r="K81" s="15" t="str">
        <f aca="false">IF(I81="","",設定!$B$12)</f>
        <v/>
      </c>
      <c r="L81" s="15" t="str">
        <f aca="false">IF(OR(H81="",I81=""),"",I81-H81-J81-K81)</f>
        <v/>
      </c>
      <c r="M81" s="16" t="str">
        <f aca="false">IF(OR(L81="",I81=0),"",L81/I81)</f>
        <v/>
      </c>
      <c r="N81" s="5" t="str">
        <f aca="false">IF(OR(A81="",B81=""),"",B81-A81)</f>
        <v/>
      </c>
      <c r="O81" s="29"/>
      <c r="P81" s="2"/>
      <c r="Q81" s="2"/>
      <c r="R81" s="2"/>
    </row>
    <row r="82" customFormat="false" ht="15" hidden="false" customHeight="false" outlineLevel="0" collapsed="false">
      <c r="A82" s="27"/>
      <c r="B82" s="27"/>
      <c r="C82" s="29"/>
      <c r="D82" s="29"/>
      <c r="E82" s="29"/>
      <c r="F82" s="29"/>
      <c r="G82" s="29"/>
      <c r="H82" s="30"/>
      <c r="I82" s="30"/>
      <c r="J82" s="15" t="str">
        <f aca="false">IF(I82="","",ROUNDDOWN(I82*設定!$B$11,0))</f>
        <v/>
      </c>
      <c r="K82" s="15" t="str">
        <f aca="false">IF(I82="","",設定!$B$12)</f>
        <v/>
      </c>
      <c r="L82" s="15" t="str">
        <f aca="false">IF(OR(H82="",I82=""),"",I82-H82-J82-K82)</f>
        <v/>
      </c>
      <c r="M82" s="16" t="str">
        <f aca="false">IF(OR(L82="",I82=0),"",L82/I82)</f>
        <v/>
      </c>
      <c r="N82" s="5" t="str">
        <f aca="false">IF(OR(A82="",B82=""),"",B82-A82)</f>
        <v/>
      </c>
      <c r="O82" s="29"/>
      <c r="P82" s="2"/>
      <c r="Q82" s="2"/>
      <c r="R82" s="2"/>
    </row>
    <row r="83" customFormat="false" ht="15" hidden="false" customHeight="false" outlineLevel="0" collapsed="false">
      <c r="A83" s="27"/>
      <c r="B83" s="27"/>
      <c r="C83" s="29"/>
      <c r="D83" s="29"/>
      <c r="E83" s="29"/>
      <c r="F83" s="29"/>
      <c r="G83" s="29"/>
      <c r="H83" s="30"/>
      <c r="I83" s="30"/>
      <c r="J83" s="15" t="str">
        <f aca="false">IF(I83="","",ROUNDDOWN(I83*設定!$B$11,0))</f>
        <v/>
      </c>
      <c r="K83" s="15" t="str">
        <f aca="false">IF(I83="","",設定!$B$12)</f>
        <v/>
      </c>
      <c r="L83" s="15" t="str">
        <f aca="false">IF(OR(H83="",I83=""),"",I83-H83-J83-K83)</f>
        <v/>
      </c>
      <c r="M83" s="16" t="str">
        <f aca="false">IF(OR(L83="",I83=0),"",L83/I83)</f>
        <v/>
      </c>
      <c r="N83" s="5" t="str">
        <f aca="false">IF(OR(A83="",B83=""),"",B83-A83)</f>
        <v/>
      </c>
      <c r="O83" s="29"/>
      <c r="P83" s="2"/>
      <c r="Q83" s="2"/>
      <c r="R83" s="2"/>
    </row>
    <row r="84" customFormat="false" ht="15" hidden="false" customHeight="false" outlineLevel="0" collapsed="false">
      <c r="A84" s="27"/>
      <c r="B84" s="27"/>
      <c r="C84" s="29"/>
      <c r="D84" s="29"/>
      <c r="E84" s="29"/>
      <c r="F84" s="29"/>
      <c r="G84" s="29"/>
      <c r="H84" s="30"/>
      <c r="I84" s="30"/>
      <c r="J84" s="15" t="str">
        <f aca="false">IF(I84="","",ROUNDDOWN(I84*設定!$B$11,0))</f>
        <v/>
      </c>
      <c r="K84" s="15" t="str">
        <f aca="false">IF(I84="","",設定!$B$12)</f>
        <v/>
      </c>
      <c r="L84" s="15" t="str">
        <f aca="false">IF(OR(H84="",I84=""),"",I84-H84-J84-K84)</f>
        <v/>
      </c>
      <c r="M84" s="16" t="str">
        <f aca="false">IF(OR(L84="",I84=0),"",L84/I84)</f>
        <v/>
      </c>
      <c r="N84" s="5" t="str">
        <f aca="false">IF(OR(A84="",B84=""),"",B84-A84)</f>
        <v/>
      </c>
      <c r="O84" s="29"/>
      <c r="P84" s="2"/>
      <c r="Q84" s="2"/>
      <c r="R84" s="2"/>
    </row>
    <row r="85" customFormat="false" ht="15" hidden="false" customHeight="false" outlineLevel="0" collapsed="false">
      <c r="A85" s="27"/>
      <c r="B85" s="27"/>
      <c r="C85" s="29"/>
      <c r="D85" s="29"/>
      <c r="E85" s="29"/>
      <c r="F85" s="29"/>
      <c r="G85" s="29"/>
      <c r="H85" s="30"/>
      <c r="I85" s="30"/>
      <c r="J85" s="15" t="str">
        <f aca="false">IF(I85="","",ROUNDDOWN(I85*設定!$B$11,0))</f>
        <v/>
      </c>
      <c r="K85" s="15" t="str">
        <f aca="false">IF(I85="","",設定!$B$12)</f>
        <v/>
      </c>
      <c r="L85" s="15" t="str">
        <f aca="false">IF(OR(H85="",I85=""),"",I85-H85-J85-K85)</f>
        <v/>
      </c>
      <c r="M85" s="16" t="str">
        <f aca="false">IF(OR(L85="",I85=0),"",L85/I85)</f>
        <v/>
      </c>
      <c r="N85" s="5" t="str">
        <f aca="false">IF(OR(A85="",B85=""),"",B85-A85)</f>
        <v/>
      </c>
      <c r="O85" s="29"/>
      <c r="P85" s="2"/>
      <c r="Q85" s="2"/>
      <c r="R85" s="2"/>
    </row>
    <row r="86" customFormat="false" ht="15" hidden="false" customHeight="false" outlineLevel="0" collapsed="false">
      <c r="A86" s="27"/>
      <c r="B86" s="27"/>
      <c r="C86" s="29"/>
      <c r="D86" s="29"/>
      <c r="E86" s="29"/>
      <c r="F86" s="29"/>
      <c r="G86" s="29"/>
      <c r="H86" s="30"/>
      <c r="I86" s="30"/>
      <c r="J86" s="15" t="str">
        <f aca="false">IF(I86="","",ROUNDDOWN(I86*設定!$B$11,0))</f>
        <v/>
      </c>
      <c r="K86" s="15" t="str">
        <f aca="false">IF(I86="","",設定!$B$12)</f>
        <v/>
      </c>
      <c r="L86" s="15" t="str">
        <f aca="false">IF(OR(H86="",I86=""),"",I86-H86-J86-K86)</f>
        <v/>
      </c>
      <c r="M86" s="16" t="str">
        <f aca="false">IF(OR(L86="",I86=0),"",L86/I86)</f>
        <v/>
      </c>
      <c r="N86" s="5" t="str">
        <f aca="false">IF(OR(A86="",B86=""),"",B86-A86)</f>
        <v/>
      </c>
      <c r="O86" s="29"/>
      <c r="P86" s="2"/>
      <c r="Q86" s="2"/>
      <c r="R86" s="2"/>
    </row>
    <row r="87" customFormat="false" ht="15" hidden="false" customHeight="false" outlineLevel="0" collapsed="false">
      <c r="A87" s="27"/>
      <c r="B87" s="27"/>
      <c r="C87" s="29"/>
      <c r="D87" s="29"/>
      <c r="E87" s="29"/>
      <c r="F87" s="29"/>
      <c r="G87" s="29"/>
      <c r="H87" s="30"/>
      <c r="I87" s="30"/>
      <c r="J87" s="15" t="str">
        <f aca="false">IF(I87="","",ROUNDDOWN(I87*設定!$B$11,0))</f>
        <v/>
      </c>
      <c r="K87" s="15" t="str">
        <f aca="false">IF(I87="","",設定!$B$12)</f>
        <v/>
      </c>
      <c r="L87" s="15" t="str">
        <f aca="false">IF(OR(H87="",I87=""),"",I87-H87-J87-K87)</f>
        <v/>
      </c>
      <c r="M87" s="16" t="str">
        <f aca="false">IF(OR(L87="",I87=0),"",L87/I87)</f>
        <v/>
      </c>
      <c r="N87" s="5" t="str">
        <f aca="false">IF(OR(A87="",B87=""),"",B87-A87)</f>
        <v/>
      </c>
      <c r="O87" s="29"/>
      <c r="P87" s="2"/>
      <c r="Q87" s="2"/>
      <c r="R87" s="2"/>
    </row>
    <row r="88" customFormat="false" ht="15" hidden="false" customHeight="false" outlineLevel="0" collapsed="false">
      <c r="A88" s="27"/>
      <c r="B88" s="27"/>
      <c r="C88" s="29"/>
      <c r="D88" s="29"/>
      <c r="E88" s="29"/>
      <c r="F88" s="29"/>
      <c r="G88" s="29"/>
      <c r="H88" s="30"/>
      <c r="I88" s="30"/>
      <c r="J88" s="15" t="str">
        <f aca="false">IF(I88="","",ROUNDDOWN(I88*設定!$B$11,0))</f>
        <v/>
      </c>
      <c r="K88" s="15" t="str">
        <f aca="false">IF(I88="","",設定!$B$12)</f>
        <v/>
      </c>
      <c r="L88" s="15" t="str">
        <f aca="false">IF(OR(H88="",I88=""),"",I88-H88-J88-K88)</f>
        <v/>
      </c>
      <c r="M88" s="16" t="str">
        <f aca="false">IF(OR(L88="",I88=0),"",L88/I88)</f>
        <v/>
      </c>
      <c r="N88" s="5" t="str">
        <f aca="false">IF(OR(A88="",B88=""),"",B88-A88)</f>
        <v/>
      </c>
      <c r="O88" s="29"/>
      <c r="P88" s="2"/>
      <c r="Q88" s="2"/>
      <c r="R88" s="2"/>
    </row>
    <row r="89" customFormat="false" ht="15" hidden="false" customHeight="false" outlineLevel="0" collapsed="false">
      <c r="A89" s="27"/>
      <c r="B89" s="27"/>
      <c r="C89" s="29"/>
      <c r="D89" s="29"/>
      <c r="E89" s="29"/>
      <c r="F89" s="29"/>
      <c r="G89" s="29"/>
      <c r="H89" s="30"/>
      <c r="I89" s="30"/>
      <c r="J89" s="15" t="str">
        <f aca="false">IF(I89="","",ROUNDDOWN(I89*設定!$B$11,0))</f>
        <v/>
      </c>
      <c r="K89" s="15" t="str">
        <f aca="false">IF(I89="","",設定!$B$12)</f>
        <v/>
      </c>
      <c r="L89" s="15" t="str">
        <f aca="false">IF(OR(H89="",I89=""),"",I89-H89-J89-K89)</f>
        <v/>
      </c>
      <c r="M89" s="16" t="str">
        <f aca="false">IF(OR(L89="",I89=0),"",L89/I89)</f>
        <v/>
      </c>
      <c r="N89" s="5" t="str">
        <f aca="false">IF(OR(A89="",B89=""),"",B89-A89)</f>
        <v/>
      </c>
      <c r="O89" s="29"/>
      <c r="P89" s="2"/>
      <c r="Q89" s="2"/>
      <c r="R89" s="2"/>
    </row>
    <row r="90" customFormat="false" ht="15" hidden="false" customHeight="false" outlineLevel="0" collapsed="false">
      <c r="A90" s="27"/>
      <c r="B90" s="27"/>
      <c r="C90" s="29"/>
      <c r="D90" s="29"/>
      <c r="E90" s="29"/>
      <c r="F90" s="29"/>
      <c r="G90" s="29"/>
      <c r="H90" s="30"/>
      <c r="I90" s="30"/>
      <c r="J90" s="15" t="str">
        <f aca="false">IF(I90="","",ROUNDDOWN(I90*設定!$B$11,0))</f>
        <v/>
      </c>
      <c r="K90" s="15" t="str">
        <f aca="false">IF(I90="","",設定!$B$12)</f>
        <v/>
      </c>
      <c r="L90" s="15" t="str">
        <f aca="false">IF(OR(H90="",I90=""),"",I90-H90-J90-K90)</f>
        <v/>
      </c>
      <c r="M90" s="16" t="str">
        <f aca="false">IF(OR(L90="",I90=0),"",L90/I90)</f>
        <v/>
      </c>
      <c r="N90" s="5" t="str">
        <f aca="false">IF(OR(A90="",B90=""),"",B90-A90)</f>
        <v/>
      </c>
      <c r="O90" s="29"/>
      <c r="P90" s="2"/>
      <c r="Q90" s="2"/>
      <c r="R90" s="2"/>
    </row>
    <row r="91" customFormat="false" ht="15" hidden="false" customHeight="false" outlineLevel="0" collapsed="false">
      <c r="A91" s="27"/>
      <c r="B91" s="27"/>
      <c r="C91" s="29"/>
      <c r="D91" s="29"/>
      <c r="E91" s="29"/>
      <c r="F91" s="29"/>
      <c r="G91" s="29"/>
      <c r="H91" s="30"/>
      <c r="I91" s="30"/>
      <c r="J91" s="15" t="str">
        <f aca="false">IF(I91="","",ROUNDDOWN(I91*設定!$B$11,0))</f>
        <v/>
      </c>
      <c r="K91" s="15" t="str">
        <f aca="false">IF(I91="","",設定!$B$12)</f>
        <v/>
      </c>
      <c r="L91" s="15" t="str">
        <f aca="false">IF(OR(H91="",I91=""),"",I91-H91-J91-K91)</f>
        <v/>
      </c>
      <c r="M91" s="16" t="str">
        <f aca="false">IF(OR(L91="",I91=0),"",L91/I91)</f>
        <v/>
      </c>
      <c r="N91" s="5" t="str">
        <f aca="false">IF(OR(A91="",B91=""),"",B91-A91)</f>
        <v/>
      </c>
      <c r="O91" s="29"/>
      <c r="P91" s="2"/>
      <c r="Q91" s="2"/>
      <c r="R91" s="2"/>
    </row>
    <row r="92" customFormat="false" ht="15" hidden="false" customHeight="false" outlineLevel="0" collapsed="false">
      <c r="A92" s="27"/>
      <c r="B92" s="27"/>
      <c r="C92" s="29"/>
      <c r="D92" s="29"/>
      <c r="E92" s="29"/>
      <c r="F92" s="29"/>
      <c r="G92" s="29"/>
      <c r="H92" s="30"/>
      <c r="I92" s="30"/>
      <c r="J92" s="15" t="str">
        <f aca="false">IF(I92="","",ROUNDDOWN(I92*設定!$B$11,0))</f>
        <v/>
      </c>
      <c r="K92" s="15" t="str">
        <f aca="false">IF(I92="","",設定!$B$12)</f>
        <v/>
      </c>
      <c r="L92" s="15" t="str">
        <f aca="false">IF(OR(H92="",I92=""),"",I92-H92-J92-K92)</f>
        <v/>
      </c>
      <c r="M92" s="16" t="str">
        <f aca="false">IF(OR(L92="",I92=0),"",L92/I92)</f>
        <v/>
      </c>
      <c r="N92" s="5" t="str">
        <f aca="false">IF(OR(A92="",B92=""),"",B92-A92)</f>
        <v/>
      </c>
      <c r="O92" s="29"/>
      <c r="P92" s="2"/>
      <c r="Q92" s="2"/>
      <c r="R92" s="2"/>
    </row>
    <row r="93" customFormat="false" ht="15" hidden="false" customHeight="false" outlineLevel="0" collapsed="false">
      <c r="A93" s="27"/>
      <c r="B93" s="27"/>
      <c r="C93" s="29"/>
      <c r="D93" s="29"/>
      <c r="E93" s="29"/>
      <c r="F93" s="29"/>
      <c r="G93" s="29"/>
      <c r="H93" s="30"/>
      <c r="I93" s="30"/>
      <c r="J93" s="15" t="str">
        <f aca="false">IF(I93="","",ROUNDDOWN(I93*設定!$B$11,0))</f>
        <v/>
      </c>
      <c r="K93" s="15" t="str">
        <f aca="false">IF(I93="","",設定!$B$12)</f>
        <v/>
      </c>
      <c r="L93" s="15" t="str">
        <f aca="false">IF(OR(H93="",I93=""),"",I93-H93-J93-K93)</f>
        <v/>
      </c>
      <c r="M93" s="16" t="str">
        <f aca="false">IF(OR(L93="",I93=0),"",L93/I93)</f>
        <v/>
      </c>
      <c r="N93" s="5" t="str">
        <f aca="false">IF(OR(A93="",B93=""),"",B93-A93)</f>
        <v/>
      </c>
      <c r="O93" s="29"/>
      <c r="P93" s="2"/>
      <c r="Q93" s="2"/>
      <c r="R93" s="2"/>
    </row>
    <row r="94" customFormat="false" ht="15" hidden="false" customHeight="false" outlineLevel="0" collapsed="false">
      <c r="A94" s="27"/>
      <c r="B94" s="27"/>
      <c r="C94" s="29"/>
      <c r="D94" s="29"/>
      <c r="E94" s="29"/>
      <c r="F94" s="29"/>
      <c r="G94" s="29"/>
      <c r="H94" s="30"/>
      <c r="I94" s="30"/>
      <c r="J94" s="15" t="str">
        <f aca="false">IF(I94="","",ROUNDDOWN(I94*設定!$B$11,0))</f>
        <v/>
      </c>
      <c r="K94" s="15" t="str">
        <f aca="false">IF(I94="","",設定!$B$12)</f>
        <v/>
      </c>
      <c r="L94" s="15" t="str">
        <f aca="false">IF(OR(H94="",I94=""),"",I94-H94-J94-K94)</f>
        <v/>
      </c>
      <c r="M94" s="16" t="str">
        <f aca="false">IF(OR(L94="",I94=0),"",L94/I94)</f>
        <v/>
      </c>
      <c r="N94" s="5" t="str">
        <f aca="false">IF(OR(A94="",B94=""),"",B94-A94)</f>
        <v/>
      </c>
      <c r="O94" s="29"/>
      <c r="P94" s="2"/>
      <c r="Q94" s="2"/>
      <c r="R94" s="2"/>
    </row>
    <row r="95" customFormat="false" ht="15" hidden="false" customHeight="false" outlineLevel="0" collapsed="false">
      <c r="A95" s="27"/>
      <c r="B95" s="27"/>
      <c r="C95" s="29"/>
      <c r="D95" s="29"/>
      <c r="E95" s="29"/>
      <c r="F95" s="29"/>
      <c r="G95" s="29"/>
      <c r="H95" s="30"/>
      <c r="I95" s="30"/>
      <c r="J95" s="15" t="str">
        <f aca="false">IF(I95="","",ROUNDDOWN(I95*設定!$B$11,0))</f>
        <v/>
      </c>
      <c r="K95" s="15" t="str">
        <f aca="false">IF(I95="","",設定!$B$12)</f>
        <v/>
      </c>
      <c r="L95" s="15" t="str">
        <f aca="false">IF(OR(H95="",I95=""),"",I95-H95-J95-K95)</f>
        <v/>
      </c>
      <c r="M95" s="16" t="str">
        <f aca="false">IF(OR(L95="",I95=0),"",L95/I95)</f>
        <v/>
      </c>
      <c r="N95" s="5" t="str">
        <f aca="false">IF(OR(A95="",B95=""),"",B95-A95)</f>
        <v/>
      </c>
      <c r="O95" s="29"/>
      <c r="P95" s="2"/>
      <c r="Q95" s="2"/>
      <c r="R95" s="2"/>
    </row>
    <row r="96" customFormat="false" ht="15" hidden="false" customHeight="false" outlineLevel="0" collapsed="false">
      <c r="A96" s="27"/>
      <c r="B96" s="27"/>
      <c r="C96" s="29"/>
      <c r="D96" s="29"/>
      <c r="E96" s="29"/>
      <c r="F96" s="29"/>
      <c r="G96" s="29"/>
      <c r="H96" s="30"/>
      <c r="I96" s="30"/>
      <c r="J96" s="15" t="str">
        <f aca="false">IF(I96="","",ROUNDDOWN(I96*設定!$B$11,0))</f>
        <v/>
      </c>
      <c r="K96" s="15" t="str">
        <f aca="false">IF(I96="","",設定!$B$12)</f>
        <v/>
      </c>
      <c r="L96" s="15" t="str">
        <f aca="false">IF(OR(H96="",I96=""),"",I96-H96-J96-K96)</f>
        <v/>
      </c>
      <c r="M96" s="16" t="str">
        <f aca="false">IF(OR(L96="",I96=0),"",L96/I96)</f>
        <v/>
      </c>
      <c r="N96" s="5" t="str">
        <f aca="false">IF(OR(A96="",B96=""),"",B96-A96)</f>
        <v/>
      </c>
      <c r="O96" s="29"/>
      <c r="P96" s="2"/>
      <c r="Q96" s="2"/>
      <c r="R96" s="2"/>
    </row>
    <row r="97" customFormat="false" ht="15" hidden="false" customHeight="false" outlineLevel="0" collapsed="false">
      <c r="A97" s="27"/>
      <c r="B97" s="27"/>
      <c r="C97" s="29"/>
      <c r="D97" s="29"/>
      <c r="E97" s="29"/>
      <c r="F97" s="29"/>
      <c r="G97" s="29"/>
      <c r="H97" s="30"/>
      <c r="I97" s="30"/>
      <c r="J97" s="15" t="str">
        <f aca="false">IF(I97="","",ROUNDDOWN(I97*設定!$B$11,0))</f>
        <v/>
      </c>
      <c r="K97" s="15" t="str">
        <f aca="false">IF(I97="","",設定!$B$12)</f>
        <v/>
      </c>
      <c r="L97" s="15" t="str">
        <f aca="false">IF(OR(H97="",I97=""),"",I97-H97-J97-K97)</f>
        <v/>
      </c>
      <c r="M97" s="16" t="str">
        <f aca="false">IF(OR(L97="",I97=0),"",L97/I97)</f>
        <v/>
      </c>
      <c r="N97" s="5" t="str">
        <f aca="false">IF(OR(A97="",B97=""),"",B97-A97)</f>
        <v/>
      </c>
      <c r="O97" s="29"/>
      <c r="P97" s="2"/>
      <c r="Q97" s="2"/>
      <c r="R97" s="2"/>
    </row>
    <row r="98" customFormat="false" ht="15" hidden="false" customHeight="false" outlineLevel="0" collapsed="false">
      <c r="A98" s="27"/>
      <c r="B98" s="27"/>
      <c r="C98" s="29"/>
      <c r="D98" s="29"/>
      <c r="E98" s="29"/>
      <c r="F98" s="29"/>
      <c r="G98" s="29"/>
      <c r="H98" s="30"/>
      <c r="I98" s="30"/>
      <c r="J98" s="15" t="str">
        <f aca="false">IF(I98="","",ROUNDDOWN(I98*設定!$B$11,0))</f>
        <v/>
      </c>
      <c r="K98" s="15" t="str">
        <f aca="false">IF(I98="","",設定!$B$12)</f>
        <v/>
      </c>
      <c r="L98" s="15" t="str">
        <f aca="false">IF(OR(H98="",I98=""),"",I98-H98-J98-K98)</f>
        <v/>
      </c>
      <c r="M98" s="16" t="str">
        <f aca="false">IF(OR(L98="",I98=0),"",L98/I98)</f>
        <v/>
      </c>
      <c r="N98" s="5" t="str">
        <f aca="false">IF(OR(A98="",B98=""),"",B98-A98)</f>
        <v/>
      </c>
      <c r="O98" s="29"/>
      <c r="P98" s="2"/>
      <c r="Q98" s="2"/>
      <c r="R98" s="2"/>
    </row>
    <row r="99" customFormat="false" ht="15" hidden="false" customHeight="false" outlineLevel="0" collapsed="false">
      <c r="A99" s="27"/>
      <c r="B99" s="27"/>
      <c r="C99" s="29"/>
      <c r="D99" s="29"/>
      <c r="E99" s="29"/>
      <c r="F99" s="29"/>
      <c r="G99" s="29"/>
      <c r="H99" s="30"/>
      <c r="I99" s="30"/>
      <c r="J99" s="15" t="str">
        <f aca="false">IF(I99="","",ROUNDDOWN(I99*設定!$B$11,0))</f>
        <v/>
      </c>
      <c r="K99" s="15" t="str">
        <f aca="false">IF(I99="","",設定!$B$12)</f>
        <v/>
      </c>
      <c r="L99" s="15" t="str">
        <f aca="false">IF(OR(H99="",I99=""),"",I99-H99-J99-K99)</f>
        <v/>
      </c>
      <c r="M99" s="16" t="str">
        <f aca="false">IF(OR(L99="",I99=0),"",L99/I99)</f>
        <v/>
      </c>
      <c r="N99" s="5" t="str">
        <f aca="false">IF(OR(A99="",B99=""),"",B99-A99)</f>
        <v/>
      </c>
      <c r="O99" s="29"/>
      <c r="P99" s="2"/>
      <c r="Q99" s="2"/>
      <c r="R99" s="2"/>
    </row>
    <row r="100" customFormat="false" ht="15" hidden="false" customHeight="false" outlineLevel="0" collapsed="false">
      <c r="A100" s="27"/>
      <c r="B100" s="27"/>
      <c r="C100" s="29"/>
      <c r="D100" s="29"/>
      <c r="E100" s="29"/>
      <c r="F100" s="29"/>
      <c r="G100" s="29"/>
      <c r="H100" s="30"/>
      <c r="I100" s="30"/>
      <c r="J100" s="15" t="str">
        <f aca="false">IF(I100="","",ROUNDDOWN(I100*設定!$B$11,0))</f>
        <v/>
      </c>
      <c r="K100" s="15" t="str">
        <f aca="false">IF(I100="","",設定!$B$12)</f>
        <v/>
      </c>
      <c r="L100" s="15" t="str">
        <f aca="false">IF(OR(H100="",I100=""),"",I100-H100-J100-K100)</f>
        <v/>
      </c>
      <c r="M100" s="16" t="str">
        <f aca="false">IF(OR(L100="",I100=0),"",L100/I100)</f>
        <v/>
      </c>
      <c r="N100" s="5" t="str">
        <f aca="false">IF(OR(A100="",B100=""),"",B100-A100)</f>
        <v/>
      </c>
      <c r="O100" s="29"/>
      <c r="P100" s="2"/>
      <c r="Q100" s="2"/>
      <c r="R100" s="2"/>
    </row>
    <row r="101" customFormat="false" ht="15" hidden="false" customHeight="false" outlineLevel="0" collapsed="false">
      <c r="A101" s="27"/>
      <c r="B101" s="27"/>
      <c r="C101" s="29"/>
      <c r="D101" s="29"/>
      <c r="E101" s="29"/>
      <c r="F101" s="29"/>
      <c r="G101" s="29"/>
      <c r="H101" s="30"/>
      <c r="I101" s="30"/>
      <c r="J101" s="15" t="str">
        <f aca="false">IF(I101="","",ROUNDDOWN(I101*設定!$B$11,0))</f>
        <v/>
      </c>
      <c r="K101" s="15" t="str">
        <f aca="false">IF(I101="","",設定!$B$12)</f>
        <v/>
      </c>
      <c r="L101" s="15" t="str">
        <f aca="false">IF(OR(H101="",I101=""),"",I101-H101-J101-K101)</f>
        <v/>
      </c>
      <c r="M101" s="16" t="str">
        <f aca="false">IF(OR(L101="",I101=0),"",L101/I101)</f>
        <v/>
      </c>
      <c r="N101" s="5" t="str">
        <f aca="false">IF(OR(A101="",B101=""),"",B101-A101)</f>
        <v/>
      </c>
      <c r="O101" s="29"/>
      <c r="P101" s="2"/>
      <c r="Q101" s="2"/>
      <c r="R101"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2026-09-25T02:39:11Z</dcterms:created>
  <dc:creator>openpyxl</dc:creator>
  <dc:description/>
  <dc:language>en-US</dc:language>
  <cp:lastModifiedBy/>
  <dcterms:modified xsi:type="dcterms:W3CDTF">2026-09-25T02:39:11Z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